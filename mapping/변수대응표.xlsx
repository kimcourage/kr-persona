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xr:revisionPtr revIDLastSave="0" documentId="13_ncr:1_{98695F85-1579-C941-8681-EE1EC80193FD}" xr6:coauthVersionLast="47" xr6:coauthVersionMax="47" xr10:uidLastSave="{00000000-0000-0000-0000-000000000000}"/>
  <bookViews>
    <workbookView xWindow="0" yWindow="600" windowWidth="51200" windowHeight="26700" xr2:uid="{00000000-000D-0000-FFFF-FFFF00000000}"/>
  </bookViews>
  <sheets>
    <sheet name="요약" sheetId="1" r:id="rId1"/>
    <sheet name="범주 대응" sheetId="2" r:id="rId2"/>
    <sheet name="새 한국 속성" sheetId="3" r:id="rId3"/>
    <sheet name="KGSS 블록 구성" sheetId="4" r:id="rId4"/>
    <sheet name="KGSS 연도 처리 근거" sheetId="5" r:id="rId5"/>
    <sheet name="항목 점검" sheetId="6" r:id="rId6"/>
    <sheet name="배경 변수 대응" sheetId="7" r:id="rId7"/>
    <sheet name="태도 블록 후보" sheetId="8" r:id="rId8"/>
    <sheet name="KGSS 대응(속성별)" sheetId="9" r:id="rId9"/>
    <sheet name="KGSS 대응(전체 후보)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9" i="5" l="1"/>
  <c r="D98" i="5"/>
  <c r="C98" i="5"/>
  <c r="B98" i="5"/>
  <c r="F50" i="5"/>
  <c r="E50" i="5"/>
  <c r="D50" i="5"/>
  <c r="F49" i="5"/>
  <c r="E49" i="5"/>
  <c r="D49" i="5"/>
  <c r="D87" i="4"/>
  <c r="D86" i="4"/>
  <c r="D85" i="4"/>
  <c r="D84" i="4"/>
</calcChain>
</file>

<file path=xl/sharedStrings.xml><?xml version="1.0" encoding="utf-8"?>
<sst xmlns="http://schemas.openxmlformats.org/spreadsheetml/2006/main" count="15273" uniqueCount="4768">
  <si>
    <t>1단계 자료 점검 요약</t>
  </si>
  <si>
    <t>파일 목록, 헤더 및 메타데이터를 대상으로 한 1단계 점검 결과이다. 수치는 원자료에서 직접 집계하였다.</t>
  </si>
  <si>
    <t>자료</t>
  </si>
  <si>
    <t>파일</t>
  </si>
  <si>
    <t>규모</t>
  </si>
  <si>
    <t>가중치 변수</t>
  </si>
  <si>
    <t>연결 키</t>
  </si>
  <si>
    <t>용도</t>
  </si>
  <si>
    <t>상태</t>
  </si>
  <si>
    <t>비고</t>
  </si>
  <si>
    <t>인구주택총조사 2% (2020)</t>
  </si>
  <si>
    <t>표본_인구.csv, 표본_가구주택.csv + 설계서 2개</t>
  </si>
  <si>
    <t>개인 926,967 / 가구 418,594 (성인 국내 출생 내국인 771,930)</t>
  </si>
  <si>
    <t>인구가중값, 가구가중값</t>
  </si>
  <si>
    <t>가구일련번호 (인구↔가구 100% 연결)</t>
  </si>
  <si>
    <t>기본 속성(CART 기반 가상 인구 생성의 학습 자료)</t>
  </si>
  <si>
    <t>확보</t>
  </si>
  <si>
    <t>직업, 산업은 대분류(1자리)만 공개. 근로시간 없음</t>
  </si>
  <si>
    <t>가계금융복지조사 (2025)</t>
  </si>
  <si>
    <t>가구마스터.csv, 가구원.csv + 설계서 2개</t>
  </si>
  <si>
    <t>가구 18,664 / 가구원 41,154</t>
  </si>
  <si>
    <t>가중값(가구)</t>
  </si>
  <si>
    <t>MD제공용_가구고유번호 (100% 연결)</t>
  </si>
  <si>
    <t>소득 블록</t>
  </si>
  <si>
    <t>시도 없음(수도권여부만). 가구원 직업 없음(가구주만)</t>
  </si>
  <si>
    <t>지역별고용조사 (2025 상반기, B형 전국)</t>
  </si>
  <si>
    <t>csv + 설계서</t>
  </si>
  <si>
    <t>개인 403,875 (성인 390,126)</t>
  </si>
  <si>
    <t>시도전국가중값</t>
  </si>
  <si>
    <t>개인 단위(가구 연결 없음)</t>
  </si>
  <si>
    <t>노동 블록</t>
  </si>
  <si>
    <t>시도 변수 없음(B형 전국 파일)</t>
  </si>
  <si>
    <t>국민건강영양조사 (2022)</t>
  </si>
  <si>
    <t>HN22_ALL.sav + 이용지침서</t>
  </si>
  <si>
    <t>개인 6,265 (성인 5,322)</t>
  </si>
  <si>
    <t>wt_itvex(건강설문·검진)</t>
  </si>
  <si>
    <t>개인 단위</t>
  </si>
  <si>
    <t>건강 블록, 우울, 불안</t>
  </si>
  <si>
    <t>PHQ-9 유효 4,845명, GAD-7 유효 5,238명(성인)</t>
  </si>
  <si>
    <t>한국종합사회조사 (2003–2025 누적)</t>
  </si>
  <si>
    <t>KGSS.sav + 코드북 PDF</t>
  </si>
  <si>
    <t>개인 23,282 (17개 연도)</t>
  </si>
  <si>
    <t>FINALWT</t>
  </si>
  <si>
    <t>개인 단위, YEAR</t>
  </si>
  <si>
    <t>태도/가치관/사회인식 블록</t>
  </si>
  <si>
    <t>문항별 조사 연도가 상이(태도 블록 후보 시트 참고)</t>
  </si>
  <si>
    <t>세계가치관조사 5차·6차</t>
  </si>
  <si>
    <t>WV5, WV6 csv(전체 국가, 세미콜론 구분) + 코드북</t>
  </si>
  <si>
    <t>한국 5차 1,200 / 6차 1,200</t>
  </si>
  <si>
    <t>V258(6차), 5차는 번호 확인 필요</t>
  </si>
  <si>
    <t>국가코드 V2=410</t>
  </si>
  <si>
    <t>가치 10개</t>
  </si>
  <si>
    <t>Schwartz 문항: 5차 V80–V89, 6차 V70–V79</t>
  </si>
  <si>
    <t>고령화연구패널 10차 (2024)</t>
  </si>
  <si>
    <t>w10.sav + 코드북</t>
  </si>
  <si>
    <t>개인 5,562 (61–104세)</t>
  </si>
  <si>
    <t>w10wgt_c(횡단)</t>
  </si>
  <si>
    <t>개인 단위, 자녀별 변수(최대 순번)</t>
  </si>
  <si>
    <t>가족 블록(비동거 자녀)</t>
  </si>
  <si>
    <t>주의</t>
  </si>
  <si>
    <t>응답자는 61세 이상으로 한정됨. 초기 설계의 45세 이상 가정과 차이가 있음</t>
  </si>
  <si>
    <t>OECD PIAAC 2주기 (Skills that Matter, 2025)</t>
  </si>
  <si>
    <t>OECD_BFI-2s.xlsx (그림 4.1–4.11 자료)</t>
  </si>
  <si>
    <t>국가별 집계값(한국 포함)</t>
  </si>
  <si>
    <t>—</t>
  </si>
  <si>
    <t>성격 모형의 성별 및 연령 효과</t>
  </si>
  <si>
    <t>16–65세 연령별 5요인 표준화 평균, 성별 차이. 66세 이상 없음</t>
  </si>
  <si>
    <t>문헌</t>
  </si>
  <si>
    <t>한국판 BFI-2 타당화, 신경증–우울·불안 메타분석, IPIP</t>
  </si>
  <si>
    <t>성격 부하량, 신경증–증상 상관</t>
  </si>
  <si>
    <t>범주 대응표: 원자료 값 → MatrAIx 범주</t>
  </si>
  <si>
    <t>{ } 내 범주는 MatrAIx 확률에 따라 배분한다. (직접 정의)는 MatrAIx에 없는 범주로, 프로필에는 해당 범주를 사용하고 MatrAIx 연결에는 조건용 범주를 적용한다. (가정)은 근사 대응으로, 검토가 필요하다.</t>
  </si>
  <si>
    <t>블록</t>
  </si>
  <si>
    <t>MatrAIx 속성</t>
  </si>
  <si>
    <t>원자료 변수</t>
  </si>
  <si>
    <t>원자료 값</t>
  </si>
  <si>
    <t>출력 범주</t>
  </si>
  <si>
    <t>조건용 MatrAIx 범주</t>
  </si>
  <si>
    <t>기본 속성</t>
  </si>
  <si>
    <t>age_bracket</t>
  </si>
  <si>
    <t>인구주택총조사</t>
  </si>
  <si>
    <t>만연령</t>
  </si>
  <si>
    <t>19–24</t>
  </si>
  <si>
    <t>18-24</t>
  </si>
  <si>
    <t>성인만 생성하므로 19세부터</t>
  </si>
  <si>
    <t/>
  </si>
  <si>
    <t>25–34</t>
  </si>
  <si>
    <t>25-34</t>
  </si>
  <si>
    <t>35–44</t>
  </si>
  <si>
    <t>35-44</t>
  </si>
  <si>
    <t>45–54</t>
  </si>
  <si>
    <t>45-54</t>
  </si>
  <si>
    <t>55–64</t>
  </si>
  <si>
    <t>55-64</t>
  </si>
  <si>
    <t>65–74</t>
  </si>
  <si>
    <t>65-74</t>
  </si>
  <si>
    <t>75–84</t>
  </si>
  <si>
    <t>75-84</t>
  </si>
  <si>
    <t>85+</t>
  </si>
  <si>
    <t>gender_identity</t>
  </si>
  <si>
    <t>성별코드</t>
  </si>
  <si>
    <t>1 남자</t>
  </si>
  <si>
    <t>Man</t>
  </si>
  <si>
    <t>센서스는 2범주만 조사(가정)</t>
  </si>
  <si>
    <t>2 여자</t>
  </si>
  <si>
    <t>Woman</t>
  </si>
  <si>
    <t>region</t>
  </si>
  <si>
    <t>전체</t>
  </si>
  <si>
    <t>East Asia</t>
  </si>
  <si>
    <t>urbanicity</t>
  </si>
  <si>
    <t>동읍면부구분코드, 행정구역시도코드</t>
  </si>
  <si>
    <t>동부, 시도 11·21–26</t>
  </si>
  <si>
    <t>Dense urban</t>
  </si>
  <si>
    <t>Nomadic / remote는 생성하지 않음</t>
  </si>
  <si>
    <t>동부, 그 밖의 시도</t>
  </si>
  <si>
    <t>Suburban</t>
  </si>
  <si>
    <t>읍부</t>
  </si>
  <si>
    <t>Small town</t>
  </si>
  <si>
    <t>면부</t>
  </si>
  <si>
    <t>Rural</t>
  </si>
  <si>
    <t>highest_education</t>
  </si>
  <si>
    <t>교육정도코드 × 수학구분코드</t>
  </si>
  <si>
    <t>1 받지 않음</t>
  </si>
  <si>
    <t>No formal</t>
  </si>
  <si>
    <t>미졸업=재학, 휴학, 중퇴, 수료. Vocational / cert는 생성하지 않음</t>
  </si>
  <si>
    <t>2 초등학교 졸업</t>
  </si>
  <si>
    <t>Primary</t>
  </si>
  <si>
    <t>2 초등학교 미졸업</t>
  </si>
  <si>
    <t>3 중학교 졸업</t>
  </si>
  <si>
    <t>Secondary</t>
  </si>
  <si>
    <t>3 중학교 미졸업</t>
  </si>
  <si>
    <t>4 고등학교 졸업 또는 미졸업</t>
  </si>
  <si>
    <t>5 2·3년제 졸업</t>
  </si>
  <si>
    <t>Associate's</t>
  </si>
  <si>
    <t>5 2·3년제 재학·휴학·중퇴·수료</t>
  </si>
  <si>
    <t>Some college</t>
  </si>
  <si>
    <t>6 4년제 졸업</t>
  </si>
  <si>
    <t>Bachelor's</t>
  </si>
  <si>
    <t>6 4년제 재학·휴학·중퇴·수료</t>
  </si>
  <si>
    <t>7 석사 졸업·수료</t>
  </si>
  <si>
    <t>Master's</t>
  </si>
  <si>
    <t>7 석사 재학·휴학·중퇴</t>
  </si>
  <si>
    <t>8 박사 졸업</t>
  </si>
  <si>
    <t>{Doctorate, Postdoc}</t>
  </si>
  <si>
    <t>8 박사 재학·휴학·중퇴·수료</t>
  </si>
  <si>
    <t>demo_marital_status</t>
  </si>
  <si>
    <t>혼인상태코드</t>
  </si>
  <si>
    <t>1 미혼</t>
  </si>
  <si>
    <t>{Single, In a relationship, Engaged}</t>
  </si>
  <si>
    <t>{ }는 MatrAIx 확률로 배분</t>
  </si>
  <si>
    <t>2 배우자 있음</t>
  </si>
  <si>
    <t>Married</t>
  </si>
  <si>
    <t>3 사별</t>
  </si>
  <si>
    <t>Widowed</t>
  </si>
  <si>
    <t>4 이혼</t>
  </si>
  <si>
    <t>Divorced</t>
  </si>
  <si>
    <t>demo_employment_status</t>
  </si>
  <si>
    <t>경제활동상태코드 × 종사상지위코드 × 수학구분 × 연령</t>
  </si>
  <si>
    <t>주로 일함 또는 일시휴직, 임금근로자</t>
  </si>
  <si>
    <t>Full-time</t>
  </si>
  <si>
    <t>센서스에 근로시간, 구직 여부가 없어 근사(가정). 결혼전취업유무, 경력단절유무는 결혼 경험 여성만 응답(60세 이상 비취업 여성의 98.5%). 경력단절유무는 결혼전취업 있음인 경우만</t>
  </si>
  <si>
    <t>틈틈이 일함, 임금근로자</t>
  </si>
  <si>
    <t>Part-time</t>
  </si>
  <si>
    <t>일함, 고용원 있는/없는 자영업자</t>
  </si>
  <si>
    <t>{Self-employed, Gig / freelance}</t>
  </si>
  <si>
    <t>일함, 무급가족종사자</t>
  </si>
  <si>
    <t>Unpaid family worker (직접 정의)</t>
  </si>
  <si>
    <t>Self-employed</t>
  </si>
  <si>
    <t>일하지 않음, 재학·휴학</t>
  </si>
  <si>
    <t>Student</t>
  </si>
  <si>
    <t>일하지 않음, 60세 이상, 남자 또는 미혼 여자</t>
  </si>
  <si>
    <t>Retired</t>
  </si>
  <si>
    <t>일하지 않음, 60세 이상 결혼 경험 여자, 결혼전취업 없음</t>
  </si>
  <si>
    <t>Homemaker</t>
  </si>
  <si>
    <t>일하지 않음, 60세 이상 결혼 경험 여자, 결혼전취업 있음·경력단절 있음</t>
  </si>
  <si>
    <t>{Homemaker, Retired}</t>
  </si>
  <si>
    <t>일하지 않음, 60세 이상 결혼 경험 여자, 결혼전취업 있음·경력단절 없음</t>
  </si>
  <si>
    <t>일하지 않음, 60세 미만 여자, 결혼전취업 없음</t>
  </si>
  <si>
    <t>일하지 않음, 60세 미만, 그 밖</t>
  </si>
  <si>
    <t>{Unemployed, Homemaker}</t>
  </si>
  <si>
    <t>demo_citizenship_status</t>
  </si>
  <si>
    <t>출생국적, 현재국적, 출생지</t>
  </si>
  <si>
    <t>국내 출생 내국인(전체)</t>
  </si>
  <si>
    <t>Citizen by birth</t>
  </si>
  <si>
    <t>목표 모집단 정의상 단일 값</t>
  </si>
  <si>
    <t>demo_housing_status</t>
  </si>
  <si>
    <t>인구주택총조사(가구)</t>
  </si>
  <si>
    <t>점유형태코드, 가구주관계코드</t>
  </si>
  <si>
    <t>본인이 가구주의 성인 자녀</t>
  </si>
  <si>
    <t>Living with family</t>
  </si>
  <si>
    <t>자가의 Own outright/Mortgage는 소득 블록의 주택담보대출 여부로 결정. 무상은 Renting으로 근사(가정)</t>
  </si>
  <si>
    <t>1 자기 집</t>
  </si>
  <si>
    <t>Own outright / Mortgage</t>
  </si>
  <si>
    <t>2–5 전세·월세·사글세</t>
  </si>
  <si>
    <t>Renting</t>
  </si>
  <si>
    <t>6 무상(관사·사택 등)</t>
  </si>
  <si>
    <t>lstyle_household_size</t>
  </si>
  <si>
    <t>가구일련번호별 가구원 수, 가구구분코드</t>
  </si>
  <si>
    <t>1명</t>
  </si>
  <si>
    <t>Lives alone</t>
  </si>
  <si>
    <t>2명</t>
  </si>
  <si>
    <t>2 people</t>
  </si>
  <si>
    <t>3–4명</t>
  </si>
  <si>
    <t>3-4 people</t>
  </si>
  <si>
    <t>5명 이상</t>
  </si>
  <si>
    <t>5+ people</t>
  </si>
  <si>
    <t>가구구분 4·5(남남 가구)</t>
  </si>
  <si>
    <t>Communal</t>
  </si>
  <si>
    <t>lstyle_commute_mode</t>
  </si>
  <si>
    <t>교통수단_* 이용여부, 통근통학구분, 근로장소</t>
  </si>
  <si>
    <t>통근 안 함, 근로장소 자기 집</t>
  </si>
  <si>
    <t>Remote</t>
  </si>
  <si>
    <t>복수 응답이면 위 순서로 우선(가정). 비통근자는 해당 없음</t>
  </si>
  <si>
    <t>지하철·버스·통근버스·고속버스·기차 중 하나라도 이용</t>
  </si>
  <si>
    <t>Public transit</t>
  </si>
  <si>
    <t>승용차·트럭 이용(대중교통 없음)</t>
  </si>
  <si>
    <t>Car</t>
  </si>
  <si>
    <t>택시만</t>
  </si>
  <si>
    <t>Rideshare</t>
  </si>
  <si>
    <t>자전거만</t>
  </si>
  <si>
    <t>Bike</t>
  </si>
  <si>
    <t>도보만</t>
  </si>
  <si>
    <t>Walk</t>
  </si>
  <si>
    <t>demo_disability_status</t>
  </si>
  <si>
    <t>활동제약_* 6개</t>
  </si>
  <si>
    <t>해당 없음</t>
  </si>
  <si>
    <t>No disability</t>
  </si>
  <si>
    <t>활동 제약은 등록 장애와 다른 개념(가정). Chronic illness는 건강 블록에서</t>
  </si>
  <si>
    <t>시각·청각·언어 중 하나만</t>
  </si>
  <si>
    <t>Sensory</t>
  </si>
  <si>
    <t>육체적 제약만</t>
  </si>
  <si>
    <t>Physical</t>
  </si>
  <si>
    <t>정신적 또는 지적·자폐성만</t>
  </si>
  <si>
    <t>Cognitive</t>
  </si>
  <si>
    <t>두 유형 이상</t>
  </si>
  <si>
    <t>Multiple</t>
  </si>
  <si>
    <t>health_vision</t>
  </si>
  <si>
    <t>활동제약_시각장애_지속여부</t>
  </si>
  <si>
    <t>1 그렇다</t>
  </si>
  <si>
    <t>{Low vision, Blind}</t>
  </si>
  <si>
    <t>2 아니다</t>
  </si>
  <si>
    <t>{Normal, Corrected}</t>
  </si>
  <si>
    <t>health_hearing</t>
  </si>
  <si>
    <t>활동제약_청각장애_지속여부</t>
  </si>
  <si>
    <t>{Moderate loss, Deaf / hard of hearing}</t>
  </si>
  <si>
    <t>{Normal, Mild loss}</t>
  </si>
  <si>
    <t>health_mobility</t>
  </si>
  <si>
    <t>활동제약_육체적제약_지속여부</t>
  </si>
  <si>
    <t>{Moderate limitation, Uses mobility aid}</t>
  </si>
  <si>
    <t>{Full, Mild limitation}</t>
  </si>
  <si>
    <t>domain</t>
  </si>
  <si>
    <t>산업대분류코드</t>
  </si>
  <si>
    <t>A 농림어업</t>
  </si>
  <si>
    <t>Agriculture</t>
  </si>
  <si>
    <t>취업자만</t>
  </si>
  <si>
    <t>B 광업, C 제조업</t>
  </si>
  <si>
    <t>Manufacturing</t>
  </si>
  <si>
    <t>D 전기·가스, E 수도·하수</t>
  </si>
  <si>
    <t>Engineering</t>
  </si>
  <si>
    <t>F 건설업</t>
  </si>
  <si>
    <t>Skilled Trades</t>
  </si>
  <si>
    <t>G 도소매, L 부동산, N 사업지원, H 운수·창고</t>
  </si>
  <si>
    <t>Business &amp; Management</t>
  </si>
  <si>
    <t>I 숙박·음식, T 가구 내 고용</t>
  </si>
  <si>
    <t>Hospitality</t>
  </si>
  <si>
    <t>J 정보통신</t>
  </si>
  <si>
    <t>{Software &amp; AI, Media &amp; Journalism}</t>
  </si>
  <si>
    <t>K 금융·보험</t>
  </si>
  <si>
    <t>Finance &amp; Economics</t>
  </si>
  <si>
    <t>M 전문·과학·기술</t>
  </si>
  <si>
    <t>{Law &amp; Policy, Engineering, Natural Sciences, Social Sciences, Business &amp; Management}</t>
  </si>
  <si>
    <t>O 공공행정, U 국제기관</t>
  </si>
  <si>
    <t>Public Sector</t>
  </si>
  <si>
    <t>P 교육</t>
  </si>
  <si>
    <t>Education</t>
  </si>
  <si>
    <t>Q 보건·사회복지</t>
  </si>
  <si>
    <t>Healthcare &amp; Medicine</t>
  </si>
  <si>
    <t>R 예술·스포츠·여가</t>
  </si>
  <si>
    <t>Arts &amp; Humanities</t>
  </si>
  <si>
    <t>S 협회·수리·개인서비스</t>
  </si>
  <si>
    <t>{Skilled Trades, Hospitality}</t>
  </si>
  <si>
    <t>Z 비경제활동</t>
  </si>
  <si>
    <t>role_function</t>
  </si>
  <si>
    <t>직업대분류코드 × 산업대분류코드</t>
  </si>
  <si>
    <t>1 관리자</t>
  </si>
  <si>
    <t>Executive</t>
  </si>
  <si>
    <t>직접 정의 범주는 프로필에 그대로 사용하며, MatrAIx 연결에는 조건용 범주를 적용</t>
  </si>
  <si>
    <t>2 전문가, 산업 P</t>
  </si>
  <si>
    <t>Teaching</t>
  </si>
  <si>
    <t>2 전문가, 산업 Q</t>
  </si>
  <si>
    <t>Clinical</t>
  </si>
  <si>
    <t>2 전문가, 산업 J</t>
  </si>
  <si>
    <t>2 전문가, 산업 K</t>
  </si>
  <si>
    <t>Finance</t>
  </si>
  <si>
    <t>2 전문가, 산업 M</t>
  </si>
  <si>
    <t>{Research, Legal, Design, Engineering}</t>
  </si>
  <si>
    <t>2 전문가, 그 밖의 산업</t>
  </si>
  <si>
    <t>{Research, Engineering, Design}</t>
  </si>
  <si>
    <t>3 사무 종사자</t>
  </si>
  <si>
    <t>Office / clerical (직접 정의)</t>
  </si>
  <si>
    <t>{Operations, Finance, HR}</t>
  </si>
  <si>
    <t>4 서비스 종사자</t>
  </si>
  <si>
    <t>Service (직접 정의)</t>
  </si>
  <si>
    <t>Operations</t>
  </si>
  <si>
    <t>5 판매 종사자</t>
  </si>
  <si>
    <t>Retail sales (직접 정의)</t>
  </si>
  <si>
    <t>Sales / GTM</t>
  </si>
  <si>
    <t>6 농림어업 숙련 종사자</t>
  </si>
  <si>
    <t>Agriculture / fishery (직접 정의)</t>
  </si>
  <si>
    <t>7 기능원 및 관련 기능 종사자</t>
  </si>
  <si>
    <t>Skilled trades / craft (직접 정의)</t>
  </si>
  <si>
    <t>8 장치·기계 조작 및 조립 종사자</t>
  </si>
  <si>
    <t>Machine operation / assembly (직접 정의)</t>
  </si>
  <si>
    <t>9 단순노무 종사자</t>
  </si>
  <si>
    <t>Elementary labor (직접 정의)</t>
  </si>
  <si>
    <t>A 기타</t>
  </si>
  <si>
    <t>Other occupation (직접 정의)</t>
  </si>
  <si>
    <t>비취업</t>
  </si>
  <si>
    <t>years_experience</t>
  </si>
  <si>
    <t>현직업근무년수코드(하한)</t>
  </si>
  <si>
    <t>1·2 1년 미만</t>
  </si>
  <si>
    <t>하한 0년</t>
  </si>
  <si>
    <t>범위 규칙: 하한 이상이고 (나이−15) 이하인 구간 {0-2, 3-5, 6-10, 11-20, 20+} 안에서 MatrAIx 확률로 선택. 비취업자는 하한 0</t>
  </si>
  <si>
    <t>3 1–3년</t>
  </si>
  <si>
    <t>하한 1년</t>
  </si>
  <si>
    <t>4 3–5년</t>
  </si>
  <si>
    <t>하한 3년</t>
  </si>
  <si>
    <t>5 5–10년</t>
  </si>
  <si>
    <t>하한 5년</t>
  </si>
  <si>
    <t>6 10–15년</t>
  </si>
  <si>
    <t>하한 10년</t>
  </si>
  <si>
    <t>7 15–20년</t>
  </si>
  <si>
    <t>하한 15년</t>
  </si>
  <si>
    <t>8 20년 이상</t>
  </si>
  <si>
    <t>하한 20년</t>
  </si>
  <si>
    <t>demo_relationship_length</t>
  </si>
  <si>
    <t>혼인상태코드, 초혼연령코드(5세 구간), 만연령</t>
  </si>
  <si>
    <t>배우자 있음, 만연령−초혼연령 &lt; 1년</t>
  </si>
  <si>
    <t>Under 1 year</t>
  </si>
  <si>
    <t>결혼 연수=만연령−초혼연령. 초혼연령은 5세 구간 내에서 균등 추출하여 계산한다(초혼연령 ≤ 만연령). 재혼자도 첫 결혼 시점을 기준으로 계산하므로 현재 결혼 기간보다 길게 산출될 수 있다(가정). 미혼자의 연애 기간에는 MatrAIx 확률을 적용한다.</t>
  </si>
  <si>
    <t>1–5년</t>
  </si>
  <si>
    <t>1-5 years</t>
  </si>
  <si>
    <t>5–15년</t>
  </si>
  <si>
    <t>5-15 years</t>
  </si>
  <si>
    <t>15년 이상</t>
  </si>
  <si>
    <t>15+ years</t>
  </si>
  <si>
    <t>사별·이혼</t>
  </si>
  <si>
    <t>Not in one</t>
  </si>
  <si>
    <t>미혼 중 Single</t>
  </si>
  <si>
    <t>미혼 중 In a relationship·Engaged</t>
  </si>
  <si>
    <t>{Under 1 year, 1-5 years, 5-15 years}</t>
  </si>
  <si>
    <t>lifex_geographic_mobility</t>
  </si>
  <si>
    <t>출생지구분코드, 출생지_타행정구역시도코드, 5년전·1년전 거주지 구분코드와 시도, 행정구역시도코드</t>
  </si>
  <si>
    <t>1년전 또는 5년전 거주지 5(북한·외국)</t>
  </si>
  <si>
    <t>Moved internationally</t>
  </si>
  <si>
    <t>출생지와 현재 거주지 비교라 중간 이동은 5년 안만 반영(가정). Serial relocator는 생성하지 않음. 출생지 4(북한, 외국)는 목표 모집단에서 제외됨</t>
  </si>
  <si>
    <t>출생지 3(다른 시군구), 출생 시도 ≠ 현재 시도</t>
  </si>
  <si>
    <t>Moved nationally</t>
  </si>
  <si>
    <t>출생지 3, 출생 시도 = 현재 시도</t>
  </si>
  <si>
    <t>Moved within region</t>
  </si>
  <si>
    <t>출생지 1·2(같은 시군구), 5년전 거주지 4(다른 시군구)이고 그 시도 ≠ 현재 시도</t>
  </si>
  <si>
    <t>출생지 1·2, 5년전 거주지 4이고 같은 시도</t>
  </si>
  <si>
    <t>출생지 1·2, 5년전 거주지 2·3</t>
  </si>
  <si>
    <t>Never left hometown</t>
  </si>
  <si>
    <t>lstyle_pet_ownership</t>
  </si>
  <si>
    <t>반려동물유무, 반려동물_개유무, 반려동물_고양이유무, 반려동물_기타유무</t>
  </si>
  <si>
    <t>개만</t>
  </si>
  <si>
    <t>Dog</t>
  </si>
  <si>
    <t>가구 단위 값을 모든 가구원에게 부여. 동일한 종류의 여러 개체는 구분할 수 없어 Dog 또는 Cat으로 분류(가정)</t>
  </si>
  <si>
    <t>고양이만</t>
  </si>
  <si>
    <t>Cat</t>
  </si>
  <si>
    <t>기타만</t>
  </si>
  <si>
    <t>Other</t>
  </si>
  <si>
    <t>두 종류 이상</t>
  </si>
  <si>
    <t>Multiple pets</t>
  </si>
  <si>
    <t>반려동물 없음</t>
  </si>
  <si>
    <t>None</t>
  </si>
  <si>
    <t>demo_driver_status</t>
  </si>
  <si>
    <t>인구주택총조사(인구+가구)</t>
  </si>
  <si>
    <t>교통수단_승용차및소형승합차·트럭_이용여부, 통근통학구분코드, 자동차주차장소_자동차보유여부</t>
  </si>
  <si>
    <t>통근·통학에 승용차 또는 트럭 이용</t>
  </si>
  <si>
    <t>Daily driver</t>
  </si>
  <si>
    <t>근사(가정): 승용차 이용에 동승자가 포함되며, 면허 여부는 센서스에 없음. { } 안은 MatrAIx 확률. Cannot drive는 생성하지 않음</t>
  </si>
  <si>
    <t>가구에 자동차 있음, 통근·통학에 차 안 씀 또는 비통근</t>
  </si>
  <si>
    <t>{Occasional driver, Licensed, rarely drives, Non-driver}</t>
  </si>
  <si>
    <t>가구에 자동차 없음, 통근·통학에 차 안 씀</t>
  </si>
  <si>
    <t>{Licensed, rarely drives, Non-driver}</t>
  </si>
  <si>
    <t>company_size</t>
  </si>
  <si>
    <t>지역별고용조사</t>
  </si>
  <si>
    <t>직장종사자규모코드, 산업, 종사상지위</t>
  </si>
  <si>
    <t>고용원 없는 자영업자</t>
  </si>
  <si>
    <t>Solo / freelance</t>
  </si>
  <si>
    <t>한국 조사 구간을 그대로 출력. Academia, NGO는 생성하지 않음</t>
  </si>
  <si>
    <t>산업 O 공공행정</t>
  </si>
  <si>
    <t>Public sector</t>
  </si>
  <si>
    <t>1–4명</t>
  </si>
  <si>
    <t>1-4 employees (직접 정의)</t>
  </si>
  <si>
    <t>Startup (&lt;50)</t>
  </si>
  <si>
    <t>5–9명</t>
  </si>
  <si>
    <t>5-9 employees (직접 정의)</t>
  </si>
  <si>
    <t>10–29명</t>
  </si>
  <si>
    <t>10-29 employees (직접 정의)</t>
  </si>
  <si>
    <t>30–99명</t>
  </si>
  <si>
    <t>30-99 employees (직접 정의)</t>
  </si>
  <si>
    <t>{Startup (&lt;50), SMB (50-500)}</t>
  </si>
  <si>
    <t>100–299명</t>
  </si>
  <si>
    <t>100-299 employees (직접 정의)</t>
  </si>
  <si>
    <t>SMB (50-500)</t>
  </si>
  <si>
    <t>300명 이상</t>
  </si>
  <si>
    <t>300+ employees (직접 정의)</t>
  </si>
  <si>
    <t>{SMB (50-500), Mid (500-5k), Enterprise (5k+)}</t>
  </si>
  <si>
    <t>demo_household_income</t>
  </si>
  <si>
    <t>가계금융복지조사</t>
  </si>
  <si>
    <t>경상소득(보완), 연 만원</t>
  </si>
  <si>
    <t>3,250만 원 미만</t>
  </si>
  <si>
    <t>&lt;$25k</t>
  </si>
  <si>
    <t>기준 환율 1,300원/달러(결정됨)</t>
  </si>
  <si>
    <t>3,250만–6,500만 원</t>
  </si>
  <si>
    <t>$25k-50k</t>
  </si>
  <si>
    <t>6,500만–1억 3,000만 원</t>
  </si>
  <si>
    <t>$50k-100k</t>
  </si>
  <si>
    <t>1억 3,000만–2억 6,000만 원</t>
  </si>
  <si>
    <t>$100k-200k</t>
  </si>
  <si>
    <t>2억 6,000만 원 이상</t>
  </si>
  <si>
    <t>$200k+</t>
  </si>
  <si>
    <t>socioeconomic_band</t>
  </si>
  <si>
    <t>경상소득 ÷ √가구원수</t>
  </si>
  <si>
    <t>국내 1분위</t>
  </si>
  <si>
    <t>Low income</t>
  </si>
  <si>
    <t>국내 기준 분위</t>
  </si>
  <si>
    <t>2분위</t>
  </si>
  <si>
    <t>Lower-middle</t>
  </si>
  <si>
    <t>3분위</t>
  </si>
  <si>
    <t>Middle</t>
  </si>
  <si>
    <t>4분위</t>
  </si>
  <si>
    <t>Upper-middle</t>
  </si>
  <si>
    <t>5분위</t>
  </si>
  <si>
    <t>High income</t>
  </si>
  <si>
    <t>입주형태코드, 담보대출_대출용도_거주주택구입금액</t>
  </si>
  <si>
    <t>자기집, 거주주택 구입 대출 &gt; 0</t>
  </si>
  <si>
    <t>Mortgage</t>
  </si>
  <si>
    <t>센서스 점유형태가 자가인 경우에만</t>
  </si>
  <si>
    <t>자기집, 대출 0</t>
  </si>
  <si>
    <t>Own outright</t>
  </si>
  <si>
    <t>건강 블록</t>
  </si>
  <si>
    <t>health_general_health</t>
  </si>
  <si>
    <t>국민건강영양조사</t>
  </si>
  <si>
    <t>D_1_1</t>
  </si>
  <si>
    <t>1 매우 좋음</t>
  </si>
  <si>
    <t>Excellent</t>
  </si>
  <si>
    <t>2 좋음</t>
  </si>
  <si>
    <t>Good</t>
  </si>
  <si>
    <t>3 보통</t>
  </si>
  <si>
    <t>Fair</t>
  </si>
  <si>
    <t>4 나쁨, 5 매우 나쁨</t>
  </si>
  <si>
    <t>Poor</t>
  </si>
  <si>
    <t>health_chronic_condition</t>
  </si>
  <si>
    <t>DI1_dg, DI2_dg, DE1_dg, DJ4_dg, DN1_dg</t>
  </si>
  <si>
    <t>진단 0개</t>
  </si>
  <si>
    <t>2022 공개 파일에는 고혈압, 이상지질혈증, 당뇨, 천식, 콩팥병만 있음. Undiagnosed concerns는 생성하지 않음</t>
  </si>
  <si>
    <t>진단 1개</t>
  </si>
  <si>
    <t>Managed</t>
  </si>
  <si>
    <t>진단 2개 이상</t>
  </si>
  <si>
    <t>health_stress_level</t>
  </si>
  <si>
    <t>BP1</t>
  </si>
  <si>
    <t>1 대단히 많이 느낀다</t>
  </si>
  <si>
    <t>Very high</t>
  </si>
  <si>
    <t>2 많이 느끼는 편</t>
  </si>
  <si>
    <t>High</t>
  </si>
  <si>
    <t>3 조금 느끼는 편</t>
  </si>
  <si>
    <t>Moderate</t>
  </si>
  <si>
    <t>4 거의 느끼지 않는다</t>
  </si>
  <si>
    <t>{Low, None}</t>
  </si>
  <si>
    <t>lstyle_smoking</t>
  </si>
  <si>
    <t>BS1_1, BS3_1</t>
  </si>
  <si>
    <t>BS1_1=3 피운 적 없음</t>
  </si>
  <si>
    <t>Never</t>
  </si>
  <si>
    <t>궐련 기준. 전자담배는 반영하지 않음(가정)</t>
  </si>
  <si>
    <t>BS3_1=3 과거 흡연</t>
  </si>
  <si>
    <t>Former</t>
  </si>
  <si>
    <t>BS3_1=2 가끔 피움</t>
  </si>
  <si>
    <t>Occasional</t>
  </si>
  <si>
    <t>BS3_1=1 매일 피움</t>
  </si>
  <si>
    <t>Regular</t>
  </si>
  <si>
    <t>lstyle_alcohol_use</t>
  </si>
  <si>
    <t>BD1, BD1_11</t>
  </si>
  <si>
    <t>BD1=1 평생 비음주, BD1_11=1 최근 1년 안 마심</t>
  </si>
  <si>
    <t>2 월 1회 미만</t>
  </si>
  <si>
    <t>Rarely</t>
  </si>
  <si>
    <t>3 월 1회, 4 월 2–4회</t>
  </si>
  <si>
    <t>Socially</t>
  </si>
  <si>
    <t>5 주 2–3회</t>
  </si>
  <si>
    <t>Regularly</t>
  </si>
  <si>
    <t>6 주 4회 이상</t>
  </si>
  <si>
    <t>Heavily</t>
  </si>
  <si>
    <t>lstyle_exercise_freq</t>
  </si>
  <si>
    <t>BE3_31(1주일간 걷기 일수)</t>
  </si>
  <si>
    <t>8 7일</t>
  </si>
  <si>
    <t>Daily</t>
  </si>
  <si>
    <t>걷기로 근사(가정). 대안: 중강도 및 고강도 신체활동 일수</t>
  </si>
  <si>
    <t>3–7 2–6일</t>
  </si>
  <si>
    <t>Weekly</t>
  </si>
  <si>
    <t>2 1일</t>
  </si>
  <si>
    <t>Monthly</t>
  </si>
  <si>
    <t>1 전혀 안 함</t>
  </si>
  <si>
    <t>{Rarely, Never}</t>
  </si>
  <si>
    <t>health_mental_health</t>
  </si>
  <si>
    <t>mh_PHQ_S, mh_GAD_S, D_1_1</t>
  </si>
  <si>
    <t>PHQ ≥ 20 또는 GAD ≥ 15</t>
  </si>
  <si>
    <t>In crisis</t>
  </si>
  <si>
    <t>설계안 A5 규칙</t>
  </si>
  <si>
    <t>어느 하나 ≥ 10</t>
  </si>
  <si>
    <t>Struggling</t>
  </si>
  <si>
    <t>어느 하나 ≥ 5</t>
  </si>
  <si>
    <t>Stable</t>
  </si>
  <si>
    <t>둘 다 &lt; 5, 주관적 건강 1·2</t>
  </si>
  <si>
    <t>Thriving</t>
  </si>
  <si>
    <t>둘 다 &lt; 5, 그 밖</t>
  </si>
  <si>
    <t>kr_depression_level (새 속성)</t>
  </si>
  <si>
    <t>mh_PHQ_S</t>
  </si>
  <si>
    <t>0–4</t>
  </si>
  <si>
    <t>Minimal</t>
  </si>
  <si>
    <t>5–9</t>
  </si>
  <si>
    <t>Mild</t>
  </si>
  <si>
    <t>10–14</t>
  </si>
  <si>
    <t>15–19</t>
  </si>
  <si>
    <t>Moderately severe</t>
  </si>
  <si>
    <t>20–27</t>
  </si>
  <si>
    <t>Severe</t>
  </si>
  <si>
    <t>kr_anxiety_level (새 속성)</t>
  </si>
  <si>
    <t>mh_GAD_S</t>
  </si>
  <si>
    <t>15–21</t>
  </si>
  <si>
    <t>health_sleep_quality</t>
  </si>
  <si>
    <t>BP16_1(수면 시간)</t>
  </si>
  <si>
    <t>MatrAIx에 맡김</t>
  </si>
  <si>
    <t>수면 시간은 수면의 질과 다른 개념이라 대응하지 않음</t>
  </si>
  <si>
    <t>demo_religion_affiliation</t>
  </si>
  <si>
    <t>KGSS</t>
  </si>
  <si>
    <t>RELIG</t>
  </si>
  <si>
    <t>1 불교, 6 SGI</t>
  </si>
  <si>
    <t>Buddhist</t>
  </si>
  <si>
    <t>5 원불교</t>
  </si>
  <si>
    <t>Won Buddhist (직접 정의)</t>
  </si>
  <si>
    <t>2 개신교</t>
  </si>
  <si>
    <t>Protestant (직접 정의)</t>
  </si>
  <si>
    <t>Christian</t>
  </si>
  <si>
    <t>3 천주교</t>
  </si>
  <si>
    <t>Catholic (직접 정의)</t>
  </si>
  <si>
    <t>7 유교</t>
  </si>
  <si>
    <t>Confucian (직접 정의)</t>
  </si>
  <si>
    <t>Folk / traditional</t>
  </si>
  <si>
    <t>9 민속신앙/무속</t>
  </si>
  <si>
    <t>10 천도교, 11 대순진리회, 12 증산도</t>
  </si>
  <si>
    <t>Korean new religion (직접 정의)</t>
  </si>
  <si>
    <t>8 도교, 13 천리교, 77 기타</t>
  </si>
  <si>
    <t>Other religion (직접 정의)</t>
  </si>
  <si>
    <t>4 종교 없음, SPIRITUA=3(영적임)</t>
  </si>
  <si>
    <t>Spiritual but unaffiliated</t>
  </si>
  <si>
    <t>4 종교 없음, 그 밖</t>
  </si>
  <si>
    <t>{None, Atheist / agnostic}</t>
  </si>
  <si>
    <t>religiosity</t>
  </si>
  <si>
    <t>RELIG, ATTEND, RELITEN</t>
  </si>
  <si>
    <t>종교 없음</t>
  </si>
  <si>
    <t>Secular</t>
  </si>
  <si>
    <t>조합 규칙(가정). 한국은 종교는 있으나 거의 참석하지 않는 사람이 많아 Spiritual(영적 추구)과 구분해 Nominal(명목상 신자)로 출력</t>
  </si>
  <si>
    <t>종교 있음, 주 1회 이상 참석, 신앙심 강함</t>
  </si>
  <si>
    <t>Devout</t>
  </si>
  <si>
    <t>종교 있음, 월 1회 이상 참석</t>
  </si>
  <si>
    <t>Observant</t>
  </si>
  <si>
    <t>종교 있음, 월 1회 미만 참석</t>
  </si>
  <si>
    <t>Nominal (직접 정의)</t>
  </si>
  <si>
    <t>Spiritual</t>
  </si>
  <si>
    <t>political_lean</t>
  </si>
  <si>
    <t>PARTYLR</t>
  </si>
  <si>
    <t>1 매우 진보</t>
  </si>
  <si>
    <t>Left</t>
  </si>
  <si>
    <t>Apolitical은 생성하지 않음</t>
  </si>
  <si>
    <t>2 다소 진보</t>
  </si>
  <si>
    <t>Center-left</t>
  </si>
  <si>
    <t>3 중도</t>
  </si>
  <si>
    <t>Center</t>
  </si>
  <si>
    <t>4 다소 보수</t>
  </si>
  <si>
    <t>Center-right</t>
  </si>
  <si>
    <t>5 매우 보수</t>
  </si>
  <si>
    <t>Right</t>
  </si>
  <si>
    <t>topic_politics</t>
  </si>
  <si>
    <t>POLINT06</t>
  </si>
  <si>
    <t>1 매우 관심</t>
  </si>
  <si>
    <t>Passionate</t>
  </si>
  <si>
    <t>2 상당히 관심</t>
  </si>
  <si>
    <t>Interested</t>
  </si>
  <si>
    <t>3 다소 관심</t>
  </si>
  <si>
    <t>Neutral</t>
  </si>
  <si>
    <t>4 별로 관심 없음</t>
  </si>
  <si>
    <t>Indifferent</t>
  </si>
  <si>
    <t>5 전혀 관심 없음</t>
  </si>
  <si>
    <t>Averse</t>
  </si>
  <si>
    <t>val_patriotism</t>
  </si>
  <si>
    <t>KRPROUD</t>
  </si>
  <si>
    <t>1 매우 자랑스럽다</t>
  </si>
  <si>
    <t>Core value</t>
  </si>
  <si>
    <t>2 다소 자랑스럽다</t>
  </si>
  <si>
    <t>{Important, Moderate}</t>
  </si>
  <si>
    <t>3 별로 자랑스럽지 않다</t>
  </si>
  <si>
    <t>Minor</t>
  </si>
  <si>
    <t>4 전혀 자랑스럽지 않다</t>
  </si>
  <si>
    <t>Irrelevant</t>
  </si>
  <si>
    <t>risk_tolerance</t>
  </si>
  <si>
    <t>MORERISK</t>
  </si>
  <si>
    <t>1 매우 동의</t>
  </si>
  <si>
    <t>Risk-seeking</t>
  </si>
  <si>
    <t>2 동의</t>
  </si>
  <si>
    <t>Risk-tolerant</t>
  </si>
  <si>
    <t>3 다소 동의, 4 중립</t>
  </si>
  <si>
    <t>Balanced</t>
  </si>
  <si>
    <t>5 다소 반대</t>
  </si>
  <si>
    <t>Cautious</t>
  </si>
  <si>
    <t>6 반대, 7 매우 반대</t>
  </si>
  <si>
    <t>Risk-averse</t>
  </si>
  <si>
    <t>dospert_financial_risk_tolerance</t>
  </si>
  <si>
    <t>HIGHRTRN</t>
  </si>
  <si>
    <t>상대 척도이므로 MatrAIx 기본 분포 비율에 맞춰 점수 분위로 구분하는 대안 가능</t>
  </si>
  <si>
    <t>Average</t>
  </si>
  <si>
    <t>Low</t>
  </si>
  <si>
    <t>Very low</t>
  </si>
  <si>
    <t>mft_authority_subversion</t>
  </si>
  <si>
    <t>OBEYSUP</t>
  </si>
  <si>
    <t>위와 같음</t>
  </si>
  <si>
    <t>trait_hope_optimism</t>
  </si>
  <si>
    <t>LOTR1–6 합계(역문항 반전)</t>
  </si>
  <si>
    <t>점수 분위</t>
  </si>
  <si>
    <t>Signature / Strong / Moderate / Slight / Absent</t>
  </si>
  <si>
    <t>MatrAIx 기본 분포 비율에 맞춰 분위로 범주화</t>
  </si>
  <si>
    <t>trait_empathy</t>
  </si>
  <si>
    <t>OTHERS1 + OTHERS2</t>
  </si>
  <si>
    <t>topic_environment</t>
  </si>
  <si>
    <t>GRNCON</t>
  </si>
  <si>
    <t>5 매우 걱정</t>
  </si>
  <si>
    <t>4</t>
  </si>
  <si>
    <t>3</t>
  </si>
  <si>
    <t>2</t>
  </si>
  <si>
    <t>1 전혀 걱정 안 함</t>
  </si>
  <si>
    <t>val_sustainability</t>
  </si>
  <si>
    <t>IHLPGRN</t>
  </si>
  <si>
    <t>2 약간 동의</t>
  </si>
  <si>
    <t>Important</t>
  </si>
  <si>
    <t>3 중립</t>
  </si>
  <si>
    <t>4 약간 반대</t>
  </si>
  <si>
    <t>5 매우 반대</t>
  </si>
  <si>
    <t>topic_spirituality</t>
  </si>
  <si>
    <t>SPIRITUA</t>
  </si>
  <si>
    <t>1 종교 있음, 영적</t>
  </si>
  <si>
    <t>{Passionate, Interested}</t>
  </si>
  <si>
    <t>3 종교 없음, 영적</t>
  </si>
  <si>
    <t>2 종교 있음, 영적 아님</t>
  </si>
  <si>
    <t>4 종교 없음, 영적 아님</t>
  </si>
  <si>
    <t>{Indifferent, Averse}</t>
  </si>
  <si>
    <t>lifex_faith_journey</t>
  </si>
  <si>
    <t>GODBELI</t>
  </si>
  <si>
    <t>4 항상 믿어 옴</t>
  </si>
  <si>
    <t>Lifelong faith</t>
  </si>
  <si>
    <t>Still searching, Returned to faith는 생성하지 않음</t>
  </si>
  <si>
    <t>3 과거 불신, 현재 믿음</t>
  </si>
  <si>
    <t>Converted</t>
  </si>
  <si>
    <t>2 과거 믿음, 현재 불신</t>
  </si>
  <si>
    <t>Lapsed / left faith</t>
  </si>
  <si>
    <t>1 항상 믿지 않음</t>
  </si>
  <si>
    <t>Always secular</t>
  </si>
  <si>
    <t>lifex_travel_breadth</t>
  </si>
  <si>
    <t>TRVLCN, TRVLJP, TRVLTW, TRVLSEA, TRVLEUR, TRVLNAM</t>
  </si>
  <si>
    <t>0개 지역</t>
  </si>
  <si>
    <t>Never left country</t>
  </si>
  <si>
    <t>Lived abroad, Global nomad는 생성하지 않음</t>
  </si>
  <si>
    <t>1–2개 지역</t>
  </si>
  <si>
    <t>A few countries</t>
  </si>
  <si>
    <t>3개 지역 이상</t>
  </si>
  <si>
    <t>Well-traveled</t>
  </si>
  <si>
    <t>lstyle_volunteering</t>
  </si>
  <si>
    <t>VOLUN12M</t>
  </si>
  <si>
    <t>1 주 1회 이상</t>
  </si>
  <si>
    <t>{Daily, Weekly}</t>
  </si>
  <si>
    <t>2023년 문항. 센서스 사회활동_사회분야단체와 동일 연도에 조사된 KGSS 문항이 없어 2단계 규칙을 적용한다(가정). KGSS에서 P(봉사함|배경)를 추정하고, 센서스 참여자는 봉사자로 설정한 뒤 빈도를 KGSS 봉사자 분포에서 추출한다. 비참여자의 봉사 확률은 (P(봉사함|배경)−P(참여|배경))/(1−P(참여|배경))로 조정하여 전체 비율을 일치시킨다.</t>
  </si>
  <si>
    <t>2 월 1회 이상</t>
  </si>
  <si>
    <t>3 3개월 1회, 4 6개월 1회, 5 거의 안 함</t>
  </si>
  <si>
    <t>6 전혀 안 함</t>
  </si>
  <si>
    <t>pref_lead_vs_follow</t>
  </si>
  <si>
    <t>BELEADER(0–6)</t>
  </si>
  <si>
    <t>6 매우 그렇다</t>
  </si>
  <si>
    <t>Always leads</t>
  </si>
  <si>
    <t>2025년 문항</t>
  </si>
  <si>
    <t>4–5</t>
  </si>
  <si>
    <t>Leans lead</t>
  </si>
  <si>
    <t>Situational</t>
  </si>
  <si>
    <t>1–2</t>
  </si>
  <si>
    <t>Leans support</t>
  </si>
  <si>
    <t>0 전혀 그렇지 않다</t>
  </si>
  <si>
    <t>Prefers to follow</t>
  </si>
  <si>
    <t>lstyle_planning_horizon</t>
  </si>
  <si>
    <t>NOFUTURE</t>
  </si>
  <si>
    <t>5 매우 그렇다</t>
  </si>
  <si>
    <t>Day-to-day</t>
  </si>
  <si>
    <t>동의 정도를 계획 기간으로 근사(가정). 2023년 문항</t>
  </si>
  <si>
    <t>4 대체로 그렇다</t>
  </si>
  <si>
    <t>2 별로 그렇지 않다</t>
  </si>
  <si>
    <t>Yearly</t>
  </si>
  <si>
    <t>1 전혀 그렇지 않다</t>
  </si>
  <si>
    <t>Multi-year</t>
  </si>
  <si>
    <t>health_energy_level</t>
  </si>
  <si>
    <t>FEELACTV</t>
  </si>
  <si>
    <t>1 항상</t>
  </si>
  <si>
    <t>부모: health_general_health(블록 밖 속성). KGSS에서는 같은 해 주관적 건강 문항(HEALTHY 2010, HEALTH21 2021)으로 관계를 추정하고, 생성 시에는 건강 블록의 산출값을 적용. 우울(kr_depression_level)은 같은 해 조사가 없어 부모 변수로 사용 불가</t>
  </si>
  <si>
    <t>2 자주</t>
  </si>
  <si>
    <t>3 가끔</t>
  </si>
  <si>
    <t>4 별로</t>
  </si>
  <si>
    <t>5 전혀</t>
  </si>
  <si>
    <t>health_pain_level</t>
  </si>
  <si>
    <t>PAIN</t>
  </si>
  <si>
    <t>1 전혀 방해 없음</t>
  </si>
  <si>
    <t>부모: health_general_health(블록 밖 속성). KGSS에서는 같은 해 주관적 건강 문항(HEALTHY 2010, HEALTH21 2021)으로 관계를 추정하고, 생성 시에는 건강 블록의 산출값을 적용. 우울은 부모 변수로 사용 불가</t>
  </si>
  <si>
    <t>2 별로 없음</t>
  </si>
  <si>
    <t>4 자주, 5 항상</t>
  </si>
  <si>
    <t>health_insurance_status</t>
  </si>
  <si>
    <t>TYPEINSR</t>
  </si>
  <si>
    <t>2 국민건강보험 + 민간보험</t>
  </si>
  <si>
    <t>Comprehensive</t>
  </si>
  <si>
    <t>부모: health_general_health(블록 밖 속성). KGSS에서는 같은 해 주관적 건강 문항(HEALTHY 2010, 2011, HEALTH21 2021, HEALTH23 2023, 2025)으로 관계를 추정하고, 생성 시에는 건강 블록의 산출값을 적용. 부모: kr_depression_level(KGSS CESD 2023, 2025로 매개). 우울을 부모 변수로 사용할 수 있는 KGSS 건강 속성은 해당 속성으로 한정</t>
  </si>
  <si>
    <t>1 국민건강보험만</t>
  </si>
  <si>
    <t>Basic</t>
  </si>
  <si>
    <t>3 민간보험만</t>
  </si>
  <si>
    <t>4 둘 다 없음</t>
  </si>
  <si>
    <t>Uninsured</t>
  </si>
  <si>
    <t>health_health_literacy</t>
  </si>
  <si>
    <t>PRSCHELP</t>
  </si>
  <si>
    <t>1 전혀 필요 없음</t>
  </si>
  <si>
    <t>처방전 이해 도움 필요도로 근사. 2021년 문항. 부모: health_general_health(블록 밖 속성). KGSS에서는 같은 해 주관적 건강 문항(HEALTH21 2021)으로 관계를 추정하고, 생성 시에는 건강 블록의 산출값을 적용. 우울은 부모 변수로 사용 불가</t>
  </si>
  <si>
    <t>2 거의 필요 없음</t>
  </si>
  <si>
    <t>4 자주</t>
  </si>
  <si>
    <t>5 항상</t>
  </si>
  <si>
    <t>topic_anime</t>
  </si>
  <si>
    <t>JPANIM</t>
  </si>
  <si>
    <t>1 자주 본다</t>
  </si>
  <si>
    <t>일본 애니메이션 시청 빈도로 근사</t>
  </si>
  <si>
    <t>2 가끔 본다</t>
  </si>
  <si>
    <t>3 거의 안 본다</t>
  </si>
  <si>
    <t>4 전혀 안 본다</t>
  </si>
  <si>
    <t>att_traditional_gender_roles</t>
  </si>
  <si>
    <t>HUBBYWRK(2003·2012), HBBYWK08(2008·2018)</t>
  </si>
  <si>
    <t>Enthusiast</t>
  </si>
  <si>
    <t>두 문항 모두 5점 척도라 그대로 통합(문구 유사, 가정). SEXROLE2(7점)는 척도가 달라 제외</t>
  </si>
  <si>
    <t>Positive</t>
  </si>
  <si>
    <t>Skeptical</t>
  </si>
  <si>
    <t>Opposed</t>
  </si>
  <si>
    <t>att_climate_action</t>
  </si>
  <si>
    <t>GRNPRICE</t>
  </si>
  <si>
    <t>1 매우 의향 있음</t>
  </si>
  <si>
    <t>2 약간</t>
  </si>
  <si>
    <t>4 별로 없음</t>
  </si>
  <si>
    <t>5 전혀 없음</t>
  </si>
  <si>
    <t>att_nuclear_energy</t>
  </si>
  <si>
    <t>NUKPLT10A</t>
  </si>
  <si>
    <t>1 확대</t>
  </si>
  <si>
    <t>{Enthusiast, Positive}</t>
  </si>
  <si>
    <t>2 현상 유지</t>
  </si>
  <si>
    <t>3 축소</t>
  </si>
  <si>
    <t>{Skeptical, Opposed}</t>
  </si>
  <si>
    <t>att_universal_basic_income</t>
  </si>
  <si>
    <t>MINILIFE</t>
  </si>
  <si>
    <t>5 매우 찬성</t>
  </si>
  <si>
    <t>4 약간 찬성</t>
  </si>
  <si>
    <t>2 약간 반대</t>
  </si>
  <si>
    <t>1 매우 반대</t>
  </si>
  <si>
    <t>values_priority</t>
  </si>
  <si>
    <t>IMPLF1(2006–2009)</t>
  </si>
  <si>
    <t>3 권력, 7 학력, 10 일</t>
  </si>
  <si>
    <t>Achievement</t>
  </si>
  <si>
    <t>인생 최우선 항목을 핵심 가치로 근사(가정). Autonomy는 생성하지 않음</t>
  </si>
  <si>
    <t>5 건강, 6 돈</t>
  </si>
  <si>
    <t>Security</t>
  </si>
  <si>
    <t>1 여가</t>
  </si>
  <si>
    <t>Novelty</t>
  </si>
  <si>
    <t>2 친구, 4 이웃</t>
  </si>
  <si>
    <t>Community</t>
  </si>
  <si>
    <t>8 종교</t>
  </si>
  <si>
    <t>Tradition</t>
  </si>
  <si>
    <t>9 가족</t>
  </si>
  <si>
    <t>{Security, Community, Tradition}</t>
  </si>
  <si>
    <t>demo_birth_order</t>
  </si>
  <si>
    <t>SIBNO1+SIBNO2(손위), SIBNO4+SIBNO5(손아래)</t>
  </si>
  <si>
    <t>형제자매 0명</t>
  </si>
  <si>
    <t>Only child</t>
  </si>
  <si>
    <t>사망자 포함 형제 수. Twin / multiple은 생성하지 않음. 2006, 2016년</t>
  </si>
  <si>
    <t>손위 0, 손아래 1명 이상</t>
  </si>
  <si>
    <t>Eldest</t>
  </si>
  <si>
    <t>손위 1명 이상, 손아래 0</t>
  </si>
  <si>
    <t>Youngest</t>
  </si>
  <si>
    <t>손위·손아래 모두 있음</t>
  </si>
  <si>
    <t>lstyle_cooking_freq</t>
  </si>
  <si>
    <t>HOUWK1(저녁식사 준비)</t>
  </si>
  <si>
    <t>1 거의 매일</t>
  </si>
  <si>
    <t>2006, 2016년</t>
  </si>
  <si>
    <t>2 주 몇 번, 3 주 1회</t>
  </si>
  <si>
    <t>4 월 1회</t>
  </si>
  <si>
    <t>5 년 몇 번, 6 년 1회</t>
  </si>
  <si>
    <t>7 년 1회 미만</t>
  </si>
  <si>
    <t>lstyle_giving</t>
  </si>
  <si>
    <t>DONN6(2011)</t>
  </si>
  <si>
    <t>Regular donor</t>
  </si>
  <si>
    <t>기부 성향 동의 정도를 빈도로 근사(가정)</t>
  </si>
  <si>
    <t>2 다소 동의</t>
  </si>
  <si>
    <t>Rare</t>
  </si>
  <si>
    <t>4 다소 반대, 5 매우 반대</t>
  </si>
  <si>
    <t>musg_classical</t>
  </si>
  <si>
    <t>MUSIC1(2008)</t>
  </si>
  <si>
    <t>1 매우 좋아한다</t>
  </si>
  <si>
    <t>Love</t>
  </si>
  <si>
    <t>단일 연도 조사 문항: 이후 시점의 변화가 없다고 가정</t>
  </si>
  <si>
    <t>2 약간 좋아한다</t>
  </si>
  <si>
    <t>Like</t>
  </si>
  <si>
    <t>4 약간 싫어한다, 5 매우 싫어한다</t>
  </si>
  <si>
    <t>Dislike</t>
  </si>
  <si>
    <t>musg_rock</t>
  </si>
  <si>
    <t>MUSIC2(2008)</t>
  </si>
  <si>
    <t>musg_pop</t>
  </si>
  <si>
    <t>MUSIC4(2008)</t>
  </si>
  <si>
    <t>habit_naps</t>
  </si>
  <si>
    <t>LTAC14(2007)</t>
  </si>
  <si>
    <t>2 주 몇 번</t>
  </si>
  <si>
    <t>3 월 몇 번</t>
  </si>
  <si>
    <t>4 년 몇 번</t>
  </si>
  <si>
    <t>5 전혀 안 함</t>
  </si>
  <si>
    <t>lstyle_reading_freq</t>
  </si>
  <si>
    <t>LTAC04(2007)</t>
  </si>
  <si>
    <t>hob_karaoke</t>
  </si>
  <si>
    <t>LTAC16(2007)</t>
  </si>
  <si>
    <t>1 거의 매일, 2 주 몇 번</t>
  </si>
  <si>
    <t>Avid</t>
  </si>
  <si>
    <t>Active</t>
  </si>
  <si>
    <t>{Curious, Never}</t>
  </si>
  <si>
    <t>lstyle_gaming_freq</t>
  </si>
  <si>
    <t>CULACT03(2007)</t>
  </si>
  <si>
    <t>6 주 3회 이상</t>
  </si>
  <si>
    <t>주 3회 이상을 Daily로 근사(가정). 단일 연도 조사 문항: 이후 시점의 변화가 없다고 가정</t>
  </si>
  <si>
    <t>5 주 1–2회</t>
  </si>
  <si>
    <t>3 두 달 1–2회, 4 월 2–3회</t>
  </si>
  <si>
    <t>1 년 1회, 2 년 2–5회</t>
  </si>
  <si>
    <t>0 전혀 안 함</t>
  </si>
  <si>
    <t>lstyle_music_listening</t>
  </si>
  <si>
    <t>CULACT01(2007)</t>
  </si>
  <si>
    <t>{All day, Daily}</t>
  </si>
  <si>
    <t>3–5 두 달 1–2회~주 1–2회</t>
  </si>
  <si>
    <t>Sometimes</t>
  </si>
  <si>
    <t>0–2 년 2–5회 이하</t>
  </si>
  <si>
    <t>val_family</t>
  </si>
  <si>
    <t>FAMILY(2003)</t>
  </si>
  <si>
    <t>1 매우 중요</t>
  </si>
  <si>
    <t>2 다소 중요</t>
  </si>
  <si>
    <t>3 별로 중요하지 않음</t>
  </si>
  <si>
    <t>{Moderate, Minor}</t>
  </si>
  <si>
    <t>4 전혀 중요하지 않음</t>
  </si>
  <si>
    <t>val_health</t>
  </si>
  <si>
    <t>HEALTH(2003)</t>
  </si>
  <si>
    <t>val_spirituality_faith</t>
  </si>
  <si>
    <t>RELIGION(2003)</t>
  </si>
  <si>
    <t>att_organized_religion</t>
  </si>
  <si>
    <t>CONCLERG(종교계 지도층 신뢰)</t>
  </si>
  <si>
    <t>1 매우 신뢰</t>
  </si>
  <si>
    <t>MatrAIx 속성과 같은 개념이 아닌 근사 문항(가정). 전 연도</t>
  </si>
  <si>
    <t>2 다소 신뢰</t>
  </si>
  <si>
    <t>3 거의 신뢰하지 않음</t>
  </si>
  <si>
    <t>att_labor_unions</t>
  </si>
  <si>
    <t>CONLABOR(노동조합 지도층 신뢰)</t>
  </si>
  <si>
    <t>att_authority</t>
  </si>
  <si>
    <t>PATRACH1(2006–2018), PATRACH123(2023·2025)</t>
  </si>
  <si>
    <t>전적으로 찬성</t>
  </si>
  <si>
    <t>MatrAIx 속성과 같은 개념이 아닌 근사 문항(가정)(아버지의 권위 존중). 주의: PATRACH123은 코드 방향이 반대(1=전적으로 반대)이므로 역코딩 후 통합</t>
  </si>
  <si>
    <t>상당히 찬성</t>
  </si>
  <si>
    <t>약간 찬성, 중립</t>
  </si>
  <si>
    <t>약간 반대, 상당히 반대</t>
  </si>
  <si>
    <t>전적으로 반대</t>
  </si>
  <si>
    <t>att_immigration</t>
  </si>
  <si>
    <t>LETIN1(2003·2013·2023), 보조 FORNWKER(2008·2018)</t>
  </si>
  <si>
    <t>1 많이 늘어야</t>
  </si>
  <si>
    <t>MatrAIx 속성과 같은 개념이 아닌 근사 문항(가정)(외국인 이민자 수 증감). FORNWKER(외국인 노동자 규모)는 같은 5점 방향으로 통합</t>
  </si>
  <si>
    <t>2 약간 늘어야</t>
  </si>
  <si>
    <t>3 지금 수준</t>
  </si>
  <si>
    <t>4 약간 줄어야</t>
  </si>
  <si>
    <t>5 많이 줄어야</t>
  </si>
  <si>
    <t>demo_political_engagement</t>
  </si>
  <si>
    <t>SIGNPET, JOINDEM, ATTRALLY(2004–2018)</t>
  </si>
  <si>
    <t>시위 또는 정치집회에 지난 1년 참여</t>
  </si>
  <si>
    <t>Protest participant (직접 정의)</t>
  </si>
  <si>
    <t>Activist</t>
  </si>
  <si>
    <t>투표가 아니라 서명, 시위, 집회 참여를 묻는 문항이라 직접 정의 범주로 출력. 부모: 센서스 사회활동_정치분야단체(기본 속성). KGSS에서는 GRPPARTY(정당 소속, 2004, 2014)로 관계를 추정</t>
  </si>
  <si>
    <t>세 활동 중 하나라도 과거 참여</t>
  </si>
  <si>
    <t>Has participated (직접 정의)</t>
  </si>
  <si>
    <t>Engaged voter</t>
  </si>
  <si>
    <t>참여 경험 없음, 앞으로 할 수 있음</t>
  </si>
  <si>
    <t>Might participate (직접 정의)</t>
  </si>
  <si>
    <t>Occasional voter</t>
  </si>
  <si>
    <t>셋 모두 앞으로도 하지 않음</t>
  </si>
  <si>
    <t>Never participates (직접 정의)</t>
  </si>
  <si>
    <t>Disengaged</t>
  </si>
  <si>
    <t>att_surveillance</t>
  </si>
  <si>
    <t>SURVECAM(2016·2025)</t>
  </si>
  <si>
    <t>1 당연히 권한 있어야</t>
  </si>
  <si>
    <t>MatrAIx 속성과 같은 개념이 아닌 근사 문항(가정)(정부의 공공장소 CCTV 권한)</t>
  </si>
  <si>
    <t>2 아마도 있어야</t>
  </si>
  <si>
    <t>3 아마도 없어야</t>
  </si>
  <si>
    <t>4 당연히 없어야</t>
  </si>
  <si>
    <t>att_data_privacy</t>
  </si>
  <si>
    <t>POLLWRRY(2023·2025)</t>
  </si>
  <si>
    <t>1 매우 걱정</t>
  </si>
  <si>
    <t>MatrAIx 속성과 같은 개념이 아닌 근사 문항(가정)(여론조사 개인정보 보안 우려). Enthusiast=개인정보 보호를 강하게 중시로 해석(가정)</t>
  </si>
  <si>
    <t>2 다소 걱정</t>
  </si>
  <si>
    <t>3 별로 걱정 안 함</t>
  </si>
  <si>
    <t>4 전혀 걱정 안 함</t>
  </si>
  <si>
    <t>att_ai</t>
  </si>
  <si>
    <t>WRYMCHAI(2025)</t>
  </si>
  <si>
    <t>MatrAIx 속성과 같은 개념이 아닌 근사 문항(가정)(AI의 일자리 대체 우려)</t>
  </si>
  <si>
    <t>4 별로 걱정 안 함</t>
  </si>
  <si>
    <t>5 전혀 걱정 안 함</t>
  </si>
  <si>
    <t>att_free_speech</t>
  </si>
  <si>
    <t>FREESPCH1A(2025)</t>
  </si>
  <si>
    <t>1 매우 보호받아야</t>
  </si>
  <si>
    <t>MatrAIx 속성과 같은 개념이 아닌 근사 문항(가정)(정부 비판 발언의 보호)</t>
  </si>
  <si>
    <t>2 다소 보호받아야</t>
  </si>
  <si>
    <t>3 다소 제한되어야</t>
  </si>
  <si>
    <t>4 매우 제한되어야</t>
  </si>
  <si>
    <t>att_government_regulation</t>
  </si>
  <si>
    <t>GOVEQINC(2003–2021, 6개 연도)</t>
  </si>
  <si>
    <t>1 매우 찬성</t>
  </si>
  <si>
    <t>MatrAIx 속성과 같은 개념이 아닌 근사 문항(가정)(정부의 소득격차 축소 책임)</t>
  </si>
  <si>
    <t>2 다소 찬성</t>
  </si>
  <si>
    <t>4 다소 반대</t>
  </si>
  <si>
    <t>att_globalization</t>
  </si>
  <si>
    <t>IMPORTS(2003–2023, 4개 연도)</t>
  </si>
  <si>
    <t>1 매우 찬성(수입 제한)</t>
  </si>
  <si>
    <t>MatrAIx 속성과 같은 개념이 아닌 근사 문항(가정)(자국 경제 보호를 위한 수입 제한, 방향 반대)</t>
  </si>
  <si>
    <t>새 한국 속성</t>
  </si>
  <si>
    <t>kr_subjective_class</t>
  </si>
  <si>
    <t>RANK(10점)</t>
  </si>
  <si>
    <t>1–2 (최하층 쪽)</t>
  </si>
  <si>
    <t>Lower class</t>
  </si>
  <si>
    <t>전 연도(17개). 태도/가치관/사회인식 블록에서 추정</t>
  </si>
  <si>
    <t>3–4</t>
  </si>
  <si>
    <t>5–6 (중간)</t>
  </si>
  <si>
    <t>7–8</t>
  </si>
  <si>
    <t>9–10 (최상층 쪽)</t>
  </si>
  <si>
    <t>Upper class</t>
  </si>
  <si>
    <t>kr_view_of_north_korea</t>
  </si>
  <si>
    <t>NORTHWHO</t>
  </si>
  <si>
    <t>1 지원대상</t>
  </si>
  <si>
    <t>Someone to help</t>
  </si>
  <si>
    <t>전 연도(17개)</t>
  </si>
  <si>
    <t>2 협력대상</t>
  </si>
  <si>
    <t>Partner for cooperation</t>
  </si>
  <si>
    <t>3 경계대상</t>
  </si>
  <si>
    <t>Someone to be wary of</t>
  </si>
  <si>
    <t>4 적대대상</t>
  </si>
  <si>
    <t>Enemy</t>
  </si>
  <si>
    <t>kr_unification_need</t>
  </si>
  <si>
    <t>UNIFI</t>
  </si>
  <si>
    <t>1 매우 필요</t>
  </si>
  <si>
    <t>Very necessary</t>
  </si>
  <si>
    <t>15개 연도</t>
  </si>
  <si>
    <t>2 다소 필요</t>
  </si>
  <si>
    <t>Somewhat necessary</t>
  </si>
  <si>
    <t>3 별로 필요하지 않음</t>
  </si>
  <si>
    <t>Not very necessary</t>
  </si>
  <si>
    <t>4 전혀 필요하지 않음</t>
  </si>
  <si>
    <t>Not necessary at all</t>
  </si>
  <si>
    <t>kr_trust_in_institutions</t>
  </si>
  <si>
    <t>CONGOVT, CONLEGIS, CONJUDGE 평균(1=매우 신뢰, 3=거의 신뢰 안 함)</t>
  </si>
  <si>
    <t>평균 ≤ 1.5</t>
  </si>
  <si>
    <t>중앙정부, 국회, 대법원. 전 연도. 세 문항 중 응답한 것만 평균</t>
  </si>
  <si>
    <t>1.67–2.33</t>
  </si>
  <si>
    <t>≥ 2.5</t>
  </si>
  <si>
    <t>kr_life_satisfaction</t>
  </si>
  <si>
    <t>LIFESAT</t>
  </si>
  <si>
    <t>1 매우 만족</t>
  </si>
  <si>
    <t>Very satisfied</t>
  </si>
  <si>
    <t>6개 연도(2006–2025)</t>
  </si>
  <si>
    <t>Satisfied</t>
  </si>
  <si>
    <t>Dissatisfied</t>
  </si>
  <si>
    <t>5 매우 불만족</t>
  </si>
  <si>
    <t>Very dissatisfied</t>
  </si>
  <si>
    <t>kr_happiness</t>
  </si>
  <si>
    <t>HAPPINSS</t>
  </si>
  <si>
    <t>1 매우 행복</t>
  </si>
  <si>
    <t>Very happy</t>
  </si>
  <si>
    <t>6개 연도(2009–2025). 생활만족도와 같은 블록에서 순서대로 추정</t>
  </si>
  <si>
    <t>Happy</t>
  </si>
  <si>
    <t>Unhappy</t>
  </si>
  <si>
    <t>5 매우 불행</t>
  </si>
  <si>
    <t>Very unhappy</t>
  </si>
  <si>
    <t>kr_family_wealth_for_success</t>
  </si>
  <si>
    <t>SUCDWLTH</t>
  </si>
  <si>
    <t>1 절대적으로 중요</t>
  </si>
  <si>
    <t>Essential</t>
  </si>
  <si>
    <t>5개 연도(2009–2025)</t>
  </si>
  <si>
    <t>2 매우 중요</t>
  </si>
  <si>
    <t>Very important</t>
  </si>
  <si>
    <t>3 대체로 중요</t>
  </si>
  <si>
    <t>Fairly important</t>
  </si>
  <si>
    <t>4 별로 중요하지 않음</t>
  </si>
  <si>
    <t>Not very important</t>
  </si>
  <si>
    <t>5 전혀 중요하지 않음</t>
  </si>
  <si>
    <t>Not important</t>
  </si>
  <si>
    <t>kr_attitude_same_sex_relations</t>
  </si>
  <si>
    <t>SEXATT3</t>
  </si>
  <si>
    <t>1 전적으로 옳지 않다</t>
  </si>
  <si>
    <t>Always wrong</t>
  </si>
  <si>
    <t>7개 연도(2008–2025)</t>
  </si>
  <si>
    <t>2 대부분 옳지 않다</t>
  </si>
  <si>
    <t>Mostly wrong</t>
  </si>
  <si>
    <t>3 때에 따라 옳지 않다</t>
  </si>
  <si>
    <t>Sometimes wrong</t>
  </si>
  <si>
    <t>4 전혀 잘못되지 않았다</t>
  </si>
  <si>
    <t>Not wrong at all</t>
  </si>
  <si>
    <t>kr_ancestry_for_korean_identity</t>
  </si>
  <si>
    <t>KRANCSTR</t>
  </si>
  <si>
    <t>4개 연도(2003–2023)</t>
  </si>
  <si>
    <t>Not important at all</t>
  </si>
  <si>
    <t>kr_living_standard_vs_parents</t>
  </si>
  <si>
    <t>PARSOL</t>
  </si>
  <si>
    <t>1 훨씬 좋아졌다</t>
  </si>
  <si>
    <t>Much better than parents</t>
  </si>
  <si>
    <t>11개 연도(2003–2025)</t>
  </si>
  <si>
    <t>2 약간 좋아졌다</t>
  </si>
  <si>
    <t>Somewhat better</t>
  </si>
  <si>
    <t>3 거의 차이 없다</t>
  </si>
  <si>
    <t>About the same</t>
  </si>
  <si>
    <t>4 약간 나빠졌다</t>
  </si>
  <si>
    <t>Somewhat worse</t>
  </si>
  <si>
    <t>5 훨씬 나빠졌다</t>
  </si>
  <si>
    <t>Much worse than parents</t>
  </si>
  <si>
    <t>kr_next_generation_outlook</t>
  </si>
  <si>
    <t>KIDSOL06</t>
  </si>
  <si>
    <t>1 훨씬 좋아질 것</t>
  </si>
  <si>
    <t>Much better</t>
  </si>
  <si>
    <t>9개 연도(2006–2025). 자녀 세대의 생활수준 전망</t>
  </si>
  <si>
    <t>2 약간 좋아질 것</t>
  </si>
  <si>
    <t>3 거의 차이 없을 것</t>
  </si>
  <si>
    <t>4 약간 나빠질 것</t>
  </si>
  <si>
    <t>5 훨씬 나빠질 것</t>
  </si>
  <si>
    <t>Much worse</t>
  </si>
  <si>
    <t>kr_country_felt_closest</t>
  </si>
  <si>
    <t>SEDISTAN</t>
  </si>
  <si>
    <t>1 미국</t>
  </si>
  <si>
    <t>United States</t>
  </si>
  <si>
    <t>17개 연도</t>
  </si>
  <si>
    <t>2 일본</t>
  </si>
  <si>
    <t>Japan</t>
  </si>
  <si>
    <t>3 북한</t>
  </si>
  <si>
    <t>North Korea</t>
  </si>
  <si>
    <t>4 중국</t>
  </si>
  <si>
    <t>China</t>
  </si>
  <si>
    <t>5 러시아</t>
  </si>
  <si>
    <t>Russia</t>
  </si>
  <si>
    <t>kr_trust_in_news_media</t>
  </si>
  <si>
    <t>CONPRESS, CONTV 평균</t>
  </si>
  <si>
    <t>평균 1.0–1.5</t>
  </si>
  <si>
    <t>신문사, TV 방송국. 17개 연도. 한 문항만 응답한 경우 해당 값 사용</t>
  </si>
  <si>
    <t>2.0</t>
  </si>
  <si>
    <t>2.5–3.0</t>
  </si>
  <si>
    <t>kr_trust_in_big_business</t>
  </si>
  <si>
    <t>CONBUS</t>
  </si>
  <si>
    <t>대기업(재벌) 신뢰. 17개 연도</t>
  </si>
  <si>
    <t>kr_confucian_way_of_life</t>
  </si>
  <si>
    <t>CONFULIV</t>
  </si>
  <si>
    <t>Yes</t>
  </si>
  <si>
    <t>유교적 삶을 산다고 생각하는지. 3개 연도(2021–2025)</t>
  </si>
  <si>
    <t>No</t>
  </si>
  <si>
    <t>kr_belief_in_saju</t>
  </si>
  <si>
    <t>MYTH518</t>
  </si>
  <si>
    <t>Strongly believes</t>
  </si>
  <si>
    <t>사주가 인생에 영향을 준다는 믿음. 4개 연도(2018–2025)</t>
  </si>
  <si>
    <t>Believes</t>
  </si>
  <si>
    <t>Unsure</t>
  </si>
  <si>
    <t>4 반대</t>
  </si>
  <si>
    <t>Doubts</t>
  </si>
  <si>
    <t>Strongly rejects</t>
  </si>
  <si>
    <t>kr_political_efficacy</t>
  </si>
  <si>
    <t>POLEFF11, POLEFF18 평균</t>
  </si>
  <si>
    <t>평균 1–2</t>
  </si>
  <si>
    <t>2004–2023, 3개 연도. 코드북 확인: POLEFF11 "나 같은 사람들은 정부가 하는 일에 대해 어떤 영향도 주기 어렵다", POLEFF18 "정부는 나 같은 사람들의 의견에 관심이 없다". 동의(1)=효능감 낮음</t>
  </si>
  <si>
    <t>2.5–3.5</t>
  </si>
  <si>
    <t>kr_confidants</t>
  </si>
  <si>
    <t>BESTFRND(믿어 주는 친구 수)</t>
  </si>
  <si>
    <t>0명</t>
  </si>
  <si>
    <t>3개 연도(2021–2025)</t>
  </si>
  <si>
    <t>One</t>
  </si>
  <si>
    <t>2–3명</t>
  </si>
  <si>
    <t>A few</t>
  </si>
  <si>
    <t>4명 이상</t>
  </si>
  <si>
    <t>Many</t>
  </si>
  <si>
    <t>kr_children_necessity</t>
  </si>
  <si>
    <t>FAMVAL2(결혼하더라도 아이 불필요)</t>
  </si>
  <si>
    <t>1 전적으로 찬성, 2 상당히 찬성</t>
  </si>
  <si>
    <t>Not necessary</t>
  </si>
  <si>
    <t>2006, 2016년. 그 뒤 변화 없음 가정</t>
  </si>
  <si>
    <t>3 약간 찬성, 4 중립, 5 약간 반대</t>
  </si>
  <si>
    <t>Undecided</t>
  </si>
  <si>
    <t>6 상당히 반대, 7 전적으로 반대</t>
  </si>
  <si>
    <t>Necessary</t>
  </si>
  <si>
    <t>가치 모형</t>
  </si>
  <si>
    <t>Schwartz 10개 가치, val_* 12개(val_power_influence 포함)</t>
  </si>
  <si>
    <t>VALUES1–22(2021, 6점 척도)</t>
  </si>
  <si>
    <t>6점 응답 → 역코딩(1=전혀 비슷하지 않음 … 6=매우 비슷함)</t>
  </si>
  <si>
    <t>원형 모형으로 추정 후 MatrAIx 기본 분포에 맞춰 5단계 범주화</t>
  </si>
  <si>
    <t>문항-가치 대응은 KGSS 코드북의 척도 구성 확인 필요</t>
  </si>
  <si>
    <t>성격 모형</t>
  </si>
  <si>
    <t>BFI-2 요인·하위 요인, IPIP, MBTI 등</t>
  </si>
  <si>
    <t>EXTROVRT 등 10문항(2009·2011·2012), POSAFF1–6·NEGAFF1–4(2005)</t>
  </si>
  <si>
    <t>7점(2009–2012), 5점(2005) → 연도별 표준화</t>
  </si>
  <si>
    <t>성·연령 효과와 요인 간 상관 추정에 사용</t>
  </si>
  <si>
    <t>성격 속성 범주는 설계안 A3의 경계로 생성. 학력은 포함하지 않음</t>
  </si>
  <si>
    <t>새 한국 속성: 선정 결과와 근거</t>
  </si>
  <si>
    <t>선정 기준: (1) 한국 사회의 주요 의견 대립 쟁점 (2) 충분한 응답 수와 최근 연도를 포함한 반복 조사 (3) 기존 속성과의 비중복성 (4) 프로필 한 문장으로 표현 가능한 명확한 의미</t>
  </si>
  <si>
    <t>판정</t>
  </si>
  <si>
    <t>속성 id</t>
  </si>
  <si>
    <t>영문 레이블</t>
  </si>
  <si>
    <t>국문 이름</t>
  </si>
  <si>
    <t>KGSS 변수</t>
  </si>
  <si>
    <t>유효 응답 수</t>
  </si>
  <si>
    <t>연도</t>
  </si>
  <si>
    <t>근거</t>
  </si>
  <si>
    <t>채택</t>
  </si>
  <si>
    <t>Subjective social class</t>
  </si>
  <si>
    <t>주관적 계층의식</t>
  </si>
  <si>
    <t>RANK</t>
  </si>
  <si>
    <t>객관적 소득 수준과 구분되는 주관적 계층 인식. 동일한 소득 수준에서도 주관적 계층 인식에 따라 태도가 달라질 수 있음</t>
  </si>
  <si>
    <t>View of North Korea</t>
  </si>
  <si>
    <t>북한 인식</t>
  </si>
  <si>
    <t>한국 정치 성향과 세대를 구분하는 대표 쟁점. 정치 성향(political_lean)만으로는 설명되지 않는 부분이 큼</t>
  </si>
  <si>
    <t>Need for unification</t>
  </si>
  <si>
    <t>통일 필요성</t>
  </si>
  <si>
    <t>세대 차이가 가장 뚜렷한 문항 중 하나. 북한 인식과 상관되지만 별개 차원(협력 대상으로 보지만 통일은 불필요 등)</t>
  </si>
  <si>
    <t>Trust in national institutions</t>
  </si>
  <si>
    <t>국가기관 신뢰</t>
  </si>
  <si>
    <t>CONGOVT, CONLEGIS, CONJUDGE</t>
  </si>
  <si>
    <t>한국에서는 대인 신뢰보다 기관 불신이 두드러짐. 대인 신뢰(big5_trust)와 구분되는 차원으로, 세 기관의 평균을 단일 속성으로 구성</t>
  </si>
  <si>
    <t>Life satisfaction</t>
  </si>
  <si>
    <t>생활만족도</t>
  </si>
  <si>
    <t>6개 연도</t>
  </si>
  <si>
    <t>MatrAIx에 주관적 안녕감 속성이 없음. 정신건강(증상)과 다른 차원</t>
  </si>
  <si>
    <t>Family wealth matters for success</t>
  </si>
  <si>
    <t>성공에서 집안 배경의 중요성</t>
  </si>
  <si>
    <t>5개 연도</t>
  </si>
  <si>
    <t>"수저론"으로 대표되는 능력주의 대 세습 인식. 공정, 불평등 담론의 핵심</t>
  </si>
  <si>
    <t>Attitude toward same-sex relations</t>
  </si>
  <si>
    <t>동성애에 대한 태도</t>
  </si>
  <si>
    <t>7개 연도</t>
  </si>
  <si>
    <t>사회적 보수, 진보를 구분하는 대표 문항이며 연령 차이가 큼. 경제 이념과 다른 사회 이념 차원</t>
  </si>
  <si>
    <t>Korean ancestry needed to be Korean</t>
  </si>
  <si>
    <t>혈통적 한국인 정체성</t>
  </si>
  <si>
    <t>4개 연도</t>
  </si>
  <si>
    <t>민족(혈통) 대 시민 정체성. 이민, 다문화 태도의 바탕이며 애국심(val_patriotism)과 다른 차원</t>
  </si>
  <si>
    <t>Married couples need children</t>
  </si>
  <si>
    <t>자녀 필요성 인식</t>
  </si>
  <si>
    <t>FAMVAL2</t>
  </si>
  <si>
    <t>2개 연도(2006·2016)</t>
  </si>
  <si>
    <t>저출생 맥락의 주요 가족 가치. 최근 조사 연도가 없어 시점 간 변화가 없다는 가정이 필요함</t>
  </si>
  <si>
    <t>Happiness</t>
  </si>
  <si>
    <t>행복감</t>
  </si>
  <si>
    <t>정서적 안녕감. 생활만족도(인지적 평가)와의 상관이 0.56(같은 응답자 6,275명)으로 별개 차원</t>
  </si>
  <si>
    <t>Living standard compared with parents</t>
  </si>
  <si>
    <t>부모세대 대비 생활수준</t>
  </si>
  <si>
    <t>11개 연도</t>
  </si>
  <si>
    <t>세대 간 계층 이동 인식. 현재 계층의식과 다른 차원</t>
  </si>
  <si>
    <t>Outlook for the next generation</t>
  </si>
  <si>
    <t>자녀세대 생활수준 전망</t>
  </si>
  <si>
    <t>9개 연도</t>
  </si>
  <si>
    <t>사회 미래에 대한 비관, 낙관. 개인 성향인 낙관성과 다른 차원</t>
  </si>
  <si>
    <t>Country felt closest to</t>
  </si>
  <si>
    <t>가장 친밀한 국가</t>
  </si>
  <si>
    <t>미국, 중국, 일본, 북한에 대한 거리감. 한국 외교, 안보 인식의 핵심</t>
  </si>
  <si>
    <t>Trust in news media</t>
  </si>
  <si>
    <t>언론 신뢰</t>
  </si>
  <si>
    <t>CONPRESS, CONTV</t>
  </si>
  <si>
    <t>국가기관 신뢰와 별개인 언론 불신. 정보 수용 태도에 직접 영향</t>
  </si>
  <si>
    <t>Trust in big business</t>
  </si>
  <si>
    <t>대기업 신뢰</t>
  </si>
  <si>
    <t>재벌에 대한 인식. 경제 이념과 상관되지만 별개</t>
  </si>
  <si>
    <t>Lives by Confucian values</t>
  </si>
  <si>
    <t>유교적 삶</t>
  </si>
  <si>
    <t>3개 연도</t>
  </si>
  <si>
    <t>종교로서의 유교(신자는 매우 적음)와 다른 생활 규범. 한국 고유 차원</t>
  </si>
  <si>
    <t>Belief in saju</t>
  </si>
  <si>
    <t>사주에 대한 믿음</t>
  </si>
  <si>
    <t>한국 고유의 운명관. 종교성과 별개로 무종교인에게도 관찰됨</t>
  </si>
  <si>
    <t>Political efficacy</t>
  </si>
  <si>
    <t>정치적 효능감</t>
  </si>
  <si>
    <t>POLEFF11, POLEFF18</t>
  </si>
  <si>
    <t>정치 관심, 참여와 구분되는 "내가 영향을 줄 수 있다"는 인식. 문항 방향은 코드북으로 확인함</t>
  </si>
  <si>
    <t>Number of confidants</t>
  </si>
  <si>
    <t>믿어 주는 친구 수</t>
  </si>
  <si>
    <t>BESTFRND</t>
  </si>
  <si>
    <t>사회적 지지망. MatrAIx에 사회적 관계의 크기 속성이 없음</t>
  </si>
  <si>
    <t>제외</t>
  </si>
  <si>
    <t>가계 경제 전망, 주관적 소득 수준</t>
  </si>
  <si>
    <t>FINPROS, FINREL05</t>
  </si>
  <si>
    <t>11–12개 연도</t>
  </si>
  <si>
    <t>계층의식, 자녀세대 전망과 중복</t>
  </si>
  <si>
    <t>이타주의 평가, 인간 본성</t>
  </si>
  <si>
    <t>HELPFUL, HUMNAT</t>
  </si>
  <si>
    <t>16개 연도</t>
  </si>
  <si>
    <t>대인 신뢰(big5_trust)와 중복</t>
  </si>
  <si>
    <t>가난의 원인(개인 대 제도)</t>
  </si>
  <si>
    <t>INDDIFF</t>
  </si>
  <si>
    <t>집안 배경의 중요성, 정치 성향과 중복</t>
  </si>
  <si>
    <t>현 정권 평가, 정부 시책 평가</t>
  </si>
  <si>
    <t>CURGOV, GOVPER*</t>
  </si>
  <si>
    <t>시점(정권)에 따라 의미가 달라지는 문항</t>
  </si>
  <si>
    <t>국가 자긍심 분야별, 다시 태어나고 싶은 나라</t>
  </si>
  <si>
    <t>PROUD*, REBORNKR</t>
  </si>
  <si>
    <t>애국심(val_patriotism)과 중복</t>
  </si>
  <si>
    <t>한국인 자격요건(출생·국적·유교 등)</t>
  </si>
  <si>
    <t>KRBORNIN 등</t>
  </si>
  <si>
    <t>혈통 문항 하나로 대표</t>
  </si>
  <si>
    <t>혼전·혼외 성관계 태도</t>
  </si>
  <si>
    <t>SEXATT1, SEXATT2</t>
  </si>
  <si>
    <t>동성애 태도와 같은 성 윤리 차원</t>
  </si>
  <si>
    <t>종교집단별 호감, 과학과 종교</t>
  </si>
  <si>
    <t>REGGRP*, RELSCI2</t>
  </si>
  <si>
    <t>종교, 종교성 속성과 중복</t>
  </si>
  <si>
    <t>탈물질주의 우선순위</t>
  </si>
  <si>
    <t>POSTMAT1, POSTMAT2</t>
  </si>
  <si>
    <t>Schwartz 가치와 중복</t>
  </si>
  <si>
    <t>아들 필요(남아선호), 가족 우선</t>
  </si>
  <si>
    <t>PATRACH5, PATRACH7</t>
  </si>
  <si>
    <t>성역할, 권위, 가족 가치와 중복</t>
  </si>
  <si>
    <t>정부 지출 증감(8개 분야)</t>
  </si>
  <si>
    <t>GOVSPD1–8</t>
  </si>
  <si>
    <t>개별 속성으로 구성하기에는 문항 수가 많으며, 정부 역할(att_government_regulation), 정치 성향과 중복</t>
  </si>
  <si>
    <t>하루 접촉 인원</t>
  </si>
  <si>
    <t>CONTACTB</t>
  </si>
  <si>
    <t>믿어 주는 친구 수와 중복</t>
  </si>
  <si>
    <t>거주지역 환경·안전</t>
  </si>
  <si>
    <t>SAFE, CARES 등</t>
  </si>
  <si>
    <t>개인 태도가 아닌 지역 특성</t>
  </si>
  <si>
    <t>한국 정치 만족도</t>
  </si>
  <si>
    <t>SATPOL</t>
  </si>
  <si>
    <t>국가기관 신뢰와 중복</t>
  </si>
  <si>
    <t>사람들의 공정성 평가</t>
  </si>
  <si>
    <t>FAIR</t>
  </si>
  <si>
    <t>14개 연도</t>
  </si>
  <si>
    <t>"사람들이 나를 이용하려 하는가"를 묻는 대인 신뢰 문항이라 big5_trust와 중복. 사회 공정성 인식은 집안 배경 문항이 더 직접적</t>
  </si>
  <si>
    <t>한반도 전쟁 가능성</t>
  </si>
  <si>
    <t>WARPOS</t>
  </si>
  <si>
    <t>북한 인식과 중복</t>
  </si>
  <si>
    <t>가계 상태 만족도</t>
  </si>
  <si>
    <t>SATFIN</t>
  </si>
  <si>
    <t>소득, 계층의식과 중복</t>
  </si>
  <si>
    <t>집단 간 갈등 인식(빈부, 노사)</t>
  </si>
  <si>
    <t>CONWLTH 등</t>
  </si>
  <si>
    <t>2003–2014</t>
  </si>
  <si>
    <t>최근 연도 없음, 계층의식과 중복</t>
  </si>
  <si>
    <t>외국인 노동자·결혼이주자 규모</t>
  </si>
  <si>
    <t>FORNWKER, FORNBRID</t>
  </si>
  <si>
    <t>2008·2018</t>
  </si>
  <si>
    <t>att_immigration의 근사 문항으로 사용</t>
  </si>
  <si>
    <t>노후 걱정</t>
  </si>
  <si>
    <t>WORRY1–5</t>
  </si>
  <si>
    <t>2010·2021</t>
  </si>
  <si>
    <t>고령층에만 의미가 크고 관련 내용이 5개 문항으로 분산</t>
  </si>
  <si>
    <t>kr_right_to_die_if_incurable</t>
  </si>
  <si>
    <t>Incurably ill person has a right to end their life</t>
  </si>
  <si>
    <t>불치병 시 자살할 권리 인식</t>
  </si>
  <si>
    <t>SUICIDE131</t>
  </si>
  <si>
    <t>최종 검토에서 제외. 원문은 존엄사가 아닌 자살할 권리에 관한 문항</t>
  </si>
  <si>
    <t>기관 신뢰 20개 개별 문항</t>
  </si>
  <si>
    <t>CON*</t>
  </si>
  <si>
    <t>전 연도</t>
  </si>
  <si>
    <t>개별 속성으로 구성하면 프로필 길이가 크게 증가. 국가기관 3개 평균으로 대표</t>
  </si>
  <si>
    <t>KGSS 블록 구성: 추정 순서, 추정 기간, 생성 시 연도, 부모</t>
  </si>
  <si>
    <t>추정 순서: 핵심 13개(종교, 종교성, 정치 성향, 계층의식, 북한 및 통일, 기관, 언론, 대기업, 종교계, 노조 신뢰, 애국심, 친밀 국가)를 우선 배치하고, 나머지는 추정 기간의 유효 응답 수를 기준으로 내림차순 정렬한다.</t>
  </si>
  <si>
    <t>부모 변수 자격: 선행 속성 중 해당 속성의 추정 기간 응답자 90% 이상이 함께 응답한 속성으로 한정한다.</t>
  </si>
  <si>
    <t>부모 변수 선택: 논리적 부모(종교성←종교 등)는 항상 포함한다. 나머지는 성별, 연령대, 학력 및 조사 연도를 통제한 상태에서 로그우도가 2% 이상 증가하고 AIC가 개선되는 속성을 개선 폭 순으로 최대 3개 추가한다.</t>
  </si>
  <si>
    <t>추정 기간: 2016–2025년 유효 응답이 1,000명(한 차수 규모) 이상인 경우 해당 기간으로 한정하고, 그 외에는 전 연도를 사용한다.</t>
  </si>
  <si>
    <t>생성 시 연도: 2020년(센서스 기준) 전후의 두 조사 연도 간격이 7년 이내이면 2020년과의 거리에 반비례하여 두 연도의 예측 분포를 혼합한다(2018년과 2021년은 1:2). 그 외에는 가장 가까운 연도를 적용한다.</t>
  </si>
  <si>
    <t>연령 처리: 2011년 이전에만 조사된 13개 속성은 출생 코호트를 일치시킨다(2020년 나이 − (2020 − 조사 연도), 최솟값 19세). 나머지는 현재 연령을 적용한다. 근거는 KGSS 연도 처리 근거 시트에 제시하였다.</t>
  </si>
  <si>
    <t>동일 연도에 조사되지 않은 속성 쌍(전체 쌍의 41%)의 관계는 배경 변수와 부모 변수를 통해서만 반영된다.</t>
  </si>
  <si>
    <t>순서</t>
  </si>
  <si>
    <t>속성</t>
  </si>
  <si>
    <t>추정 기간</t>
  </si>
  <si>
    <t>유효 응답(추정 기간)</t>
  </si>
  <si>
    <t>추정에 쓰는 연도</t>
  </si>
  <si>
    <t>생성 시 연도</t>
  </si>
  <si>
    <t>연령 처리</t>
  </si>
  <si>
    <t>부모 자격 속성 수</t>
  </si>
  <si>
    <t>블록 안 부모(최대 3)</t>
  </si>
  <si>
    <t>부모별 로그우도 개선</t>
  </si>
  <si>
    <t>블록 밖 부모</t>
  </si>
  <si>
    <t>2016–2025</t>
  </si>
  <si>
    <t>2016, 2018, 2021, 2023, 2025</t>
  </si>
  <si>
    <t>2018·2021 보간(1:2)</t>
  </si>
  <si>
    <t>연령 그대로</t>
  </si>
  <si>
    <t>(배경 변수만)</t>
  </si>
  <si>
    <t>demo_religion_affiliation +66.7%(논리)</t>
  </si>
  <si>
    <t>종교 없음=Secular이므로 종교에 거의 결정됨</t>
  </si>
  <si>
    <t>political_lean +2.4%</t>
  </si>
  <si>
    <t>kr_view_of_north_korea +6.6%(논리)</t>
  </si>
  <si>
    <t>kr_trust_in_institutions +10.2%</t>
  </si>
  <si>
    <t>kr_trust_in_institutions, kr_trust_in_news_media</t>
  </si>
  <si>
    <t>kr_trust_in_institutions +7.2%, kr_trust_in_news_media +3.3%</t>
  </si>
  <si>
    <t>demo_religion_affiliation, religiosity, kr_trust_in_news_media</t>
  </si>
  <si>
    <t>demo_religion_affiliation +5.1%(논리), religiosity +1.2%(논리), kr_trust_in_news_media +4.9%</t>
  </si>
  <si>
    <t>kr_trust_in_news_media +5.8%</t>
  </si>
  <si>
    <t>kr_trust_in_big_business +2.2%</t>
  </si>
  <si>
    <t>kr_view_of_north_korea +4.7%</t>
  </si>
  <si>
    <t>2006, 2007, 2008, 2009</t>
  </si>
  <si>
    <t>2009년</t>
  </si>
  <si>
    <t>출생 코호트 맞춤</t>
  </si>
  <si>
    <t>religiosity +3.4%</t>
  </si>
  <si>
    <t>2016, 2021, 2023, 2025</t>
  </si>
  <si>
    <t>2016·2021 보간(1:4)</t>
  </si>
  <si>
    <t>kr_subjective_class +4.4%</t>
  </si>
  <si>
    <t>kr_life_satisfaction, kr_subjective_class</t>
  </si>
  <si>
    <t>kr_life_satisfaction +19.0%(논리), kr_subjective_class +2.1%</t>
  </si>
  <si>
    <t>2018, 2021, 2023, 2025</t>
  </si>
  <si>
    <t>demo_religion_affiliation +2.0%</t>
  </si>
  <si>
    <t>2016, 2018, 2023, 2025</t>
  </si>
  <si>
    <t>2018·2023 보간(3:2)</t>
  </si>
  <si>
    <t>2021, 2023, 2025</t>
  </si>
  <si>
    <t>2021년</t>
  </si>
  <si>
    <t>kr_subjective_class +2.8%</t>
  </si>
  <si>
    <t>health_general_health(+1.6%, HEALTH21·HEALTH23), kr_depression_level(+0.4%, CESD 2023)</t>
  </si>
  <si>
    <t>우울을 부모로 쓸 수 있는 유일한 KGSS 건강 속성. 블록 밖 부모 셋은 2% 규칙에 못 미치지만 결정에 따라 포함</t>
  </si>
  <si>
    <t>kr_living_standard_vs_parents +7.6%</t>
  </si>
  <si>
    <t>demo_religion_affiliation +2.2%</t>
  </si>
  <si>
    <t>2023, 2025</t>
  </si>
  <si>
    <t>2023년</t>
  </si>
  <si>
    <t>2021, 2023</t>
  </si>
  <si>
    <t>2008, 2018</t>
  </si>
  <si>
    <t>2018년</t>
  </si>
  <si>
    <t>연령×시기 상호작용</t>
  </si>
  <si>
    <t>demo_religion_affiliation, religiosity</t>
  </si>
  <si>
    <t>demo_religion_affiliation +18.0%(논리), religiosity +2.1%(논리)</t>
  </si>
  <si>
    <t>2016–2025 응답이 1,000명 미만(2018년 한 번)이라 전 연도를 쓰고 연령×시기 상호작용을 넣음</t>
  </si>
  <si>
    <t>2016, 2025</t>
  </si>
  <si>
    <t>2016년</t>
  </si>
  <si>
    <t>political_lean +2.2%(논리)</t>
  </si>
  <si>
    <t>2018, 2021</t>
  </si>
  <si>
    <t>2018, 2023</t>
  </si>
  <si>
    <t>2016, 2018</t>
  </si>
  <si>
    <t>political_lean +1.0%(논리)</t>
  </si>
  <si>
    <t>센서스 사회활동_정치분야단체(+0.6%, KGSS GRPPARTY 적극 활동 2004·2014로 추정)</t>
  </si>
  <si>
    <t>정당 활동 회원은 0.5–1%로 드물어 전체 개선은 작지만, 회원의 55%가 시위, 집회 참여(비회원 6%). 정당 효과는 2004, 2014 자료로 따로 추정해 고정값으로 더함</t>
  </si>
  <si>
    <t>2018, 2021, 2023</t>
  </si>
  <si>
    <t>political_lean +2.1%</t>
  </si>
  <si>
    <t>2011</t>
  </si>
  <si>
    <t>2011년</t>
  </si>
  <si>
    <t>trait_empathy +2.8%</t>
  </si>
  <si>
    <t>2008</t>
  </si>
  <si>
    <t>2008년</t>
  </si>
  <si>
    <t>2007</t>
  </si>
  <si>
    <t>2007년</t>
  </si>
  <si>
    <t>habit_naps +2.0%</t>
  </si>
  <si>
    <t>religiosity +2.4%</t>
  </si>
  <si>
    <t>musg_pop +2.3%</t>
  </si>
  <si>
    <t>musg_rock +11.1%</t>
  </si>
  <si>
    <t>2003</t>
  </si>
  <si>
    <t>2003년</t>
  </si>
  <si>
    <t>val_patriotism, kr_unification_need</t>
  </si>
  <si>
    <t>val_patriotism +4.4%, kr_unification_need +3.4%</t>
  </si>
  <si>
    <t>val_family, religiosity</t>
  </si>
  <si>
    <t>val_family +9.7%, religiosity +2.3%</t>
  </si>
  <si>
    <t>demo_religion_affiliation, religiosity, att_organized_religion</t>
  </si>
  <si>
    <t>demo_religion_affiliation +12.5%(논리), religiosity +3.5%(논리), att_organized_religion +3.4%</t>
  </si>
  <si>
    <t>2023</t>
  </si>
  <si>
    <t>kr_life_satisfaction +2.3%</t>
  </si>
  <si>
    <t>att_authority +2.4%</t>
  </si>
  <si>
    <t>religiosity +4.6%</t>
  </si>
  <si>
    <t>센서스 사회활동_사회분야단체(2단계 규칙, 함께 조사된 KGSS 문항 없음)</t>
  </si>
  <si>
    <t>att_globalization +2.1%</t>
  </si>
  <si>
    <t>2025</t>
  </si>
  <si>
    <t>2025년</t>
  </si>
  <si>
    <t>kr_unification_need, att_ai</t>
  </si>
  <si>
    <t>kr_unification_need +2.1%, att_ai +2.1%</t>
  </si>
  <si>
    <t>2021</t>
  </si>
  <si>
    <t>kr_life_satisfaction +3.7%, kr_subjective_class +2.5%</t>
  </si>
  <si>
    <t>health_general_health(+5.6%, KGSS HEALTH21 2021로 추정)</t>
  </si>
  <si>
    <t>health_general_health(+1.0%, HEALTH21 2021)</t>
  </si>
  <si>
    <t>블록 밖 부모는 2% 규칙에 못 미치지만 결정에 따라 포함</t>
  </si>
  <si>
    <t>val_sustainability, kr_life_satisfaction</t>
  </si>
  <si>
    <t>val_sustainability +3.7%, kr_life_satisfaction +2.2%</t>
  </si>
  <si>
    <t>att_climate_action, val_sustainability</t>
  </si>
  <si>
    <t>att_climate_action +8.4%, val_sustainability +2.8%</t>
  </si>
  <si>
    <t>att_globalization, att_universal_basic_income</t>
  </si>
  <si>
    <t>att_globalization +2.8%, att_universal_basic_income +2.1%</t>
  </si>
  <si>
    <t>health_energy_level, health_health_literacy</t>
  </si>
  <si>
    <t>health_energy_level +6.1%, health_health_literacy +3.4%</t>
  </si>
  <si>
    <t>health_general_health(+7.3%, HEALTH21 2021)</t>
  </si>
  <si>
    <t>2016</t>
  </si>
  <si>
    <t>att_authority +5.2%</t>
  </si>
  <si>
    <t>2018</t>
  </si>
  <si>
    <t>att_authority +3.8%</t>
  </si>
  <si>
    <t>att_authority, risk_tolerance</t>
  </si>
  <si>
    <t>att_authority +4.6%, risk_tolerance +3.4%</t>
  </si>
  <si>
    <t>risk_tolerance, kr_belief_in_saju, mft_authority_subversion</t>
  </si>
  <si>
    <t>risk_tolerance +8.5%, kr_belief_in_saju +2.6%, mft_authority_subversion +3.1%</t>
  </si>
  <si>
    <t>kr_subjective_class +2.2%</t>
  </si>
  <si>
    <t>att_authority +4.5%, risk_tolerance +2.9%</t>
  </si>
  <si>
    <t>demo_religion_affiliation, religiosity, lifex_faith_journey</t>
  </si>
  <si>
    <t>demo_religion_affiliation +56.1%(논리), religiosity +3.2%(논리), lifex_faith_journey +6.2%</t>
  </si>
  <si>
    <t>요약</t>
  </si>
  <si>
    <t>부모가 1개 이상인 속성 수</t>
  </si>
  <si>
    <t>배경 변수만 쓰는 속성 수</t>
  </si>
  <si>
    <t>추정 기간 2016–2025인 속성 수</t>
  </si>
  <si>
    <t>출생 코호트를 맞추는 속성 수</t>
  </si>
  <si>
    <t>참고: BIC 기준(더 엄격)으로 고르면 37개가 배경 변수만 쓰게 되고, AIC만 쓰면 속성당 평균 2.5개를 고르지만 뜻이 약한 연결이 많이 들어감(예: 애니메이션 ← 기본소득 태도). 그 사이인 2% 규칙을 채택.</t>
  </si>
  <si>
    <t>KGSS 연도 처리 근거</t>
  </si>
  <si>
    <t>수치는 2016–2025년 응답자의 연령대(19–29세, 30대, 40대, 50대, 60세 이상)별 응답 분포와 각 방법의 예측 분포 간 평균 총변동거리(%p)이다. 값이 작을수록 예측 오차가 작다.</t>
  </si>
  <si>
    <t>표 1: 2003–2010년과 2016–2025년에 각각 응답자가 1,000명 이상인 문항. 성별, 연령대, 학력 및 조사 연도를 설명 변수로 다항 로짓 모형을 추정하였다.</t>
  </si>
  <si>
    <t>2003–2010 응답</t>
  </si>
  <si>
    <t>2016–2025 응답</t>
  </si>
  <si>
    <t>전 연도, 연도 주효과만</t>
  </si>
  <si>
    <t>전 연도, 연령×시기 상호작용 추가</t>
  </si>
  <si>
    <t>2016–2025만</t>
  </si>
  <si>
    <t>중앙값</t>
  </si>
  <si>
    <t>2%p 넘는 문항 비율</t>
  </si>
  <si>
    <t>해석: 연도 주효과만 포함하면 과거의 연령별 차이가 반영되어 2016–2025년의 연령대별 분포와 차이가 발생한다. 최근 기간으로 한정한 모형과 상호작용 모형의 결과가 유사하므로, 더 단순한 2016–2025년 한정 모형을 채택하였다.</t>
  </si>
  <si>
    <t>표 2: 2003–2010년 자료만으로 2016–2025년을 예측한 결과. 과거에만 조사된 문항을 활용하는 상황을 재현하였으며, 표 1과 동일한 문항을 대상으로 한다.</t>
  </si>
  <si>
    <t>변화 없음(전체 분포 그대로)</t>
  </si>
  <si>
    <t>연령대별 분포 그대로</t>
  </si>
  <si>
    <t>출생 코호트별 분포 그대로</t>
  </si>
  <si>
    <t>코호트가 연령보다 나은 문항 비율</t>
  </si>
  <si>
    <t>해석: 10년 이상 경과한 자료는 모든 방법에서 오차가 크다(13%p 이상). 다만 대부분의 문항에서 연령 일치보다 출생 코호트 일치의 오차가 작다. 따라서 2011년 이전에만 조사된 13개 속성은 출생 코호트를 일치시키고, 신뢰도가 낮은 속성으로 표시한다.</t>
  </si>
  <si>
    <t>설계 요구 항목 점검</t>
  </si>
  <si>
    <t>설계에 필요한 항목의 실제 자료 포함 여부를 점검한 결과이다.</t>
  </si>
  <si>
    <t>항목</t>
  </si>
  <si>
    <t>변수</t>
  </si>
  <si>
    <t>유무</t>
  </si>
  <si>
    <t>처리 및 비고</t>
  </si>
  <si>
    <t>국내 출생 내국인 식별</t>
  </si>
  <si>
    <t>출생국적_대한민국여부, 현재국적_대한민국여부, 출생지구분코드(4=북한 또는 외국)</t>
  </si>
  <si>
    <t>있음</t>
  </si>
  <si>
    <t>세 조건으로 선별. 성인 해당 기록 771,930</t>
  </si>
  <si>
    <t>가구 구성(관계, 나이)</t>
  </si>
  <si>
    <t>가구일련번호, 가구원번호, 가구주관계코드(14범주), 만연령</t>
  </si>
  <si>
    <t>본인 기준 자녀, 손자녀 판정 가능</t>
  </si>
  <si>
    <t>주거 점유 형태</t>
  </si>
  <si>
    <t>점유형태코드(자가, 전세, 보증금 월세, 무보증 월세, 사글세, 무상)</t>
  </si>
  <si>
    <t>가구 파일과 연결</t>
  </si>
  <si>
    <t>출생아 수</t>
  </si>
  <si>
    <t>남아출산수, 여아출산수, 남아사망수, 여아사망수</t>
  </si>
  <si>
    <t>여성만 응답(여성의 62%). 비동거 자녀 계산에 사용</t>
  </si>
  <si>
    <t>근속 연수</t>
  </si>
  <si>
    <t>현직업근무년수코드(8구간)</t>
  </si>
  <si>
    <t>취업자 대상. 노동 블록 추정 대신 센서스 값 사용 가능</t>
  </si>
  <si>
    <t>통근 수단</t>
  </si>
  <si>
    <t>교통수단_* 이용여부 11개, 통근통학구분코드</t>
  </si>
  <si>
    <t>복수 응답 가능 구조</t>
  </si>
  <si>
    <t>활동 제약(장애)</t>
  </si>
  <si>
    <t>활동제약_* 6개, 지속기간, 돌봄필요여부</t>
  </si>
  <si>
    <t>근로시간(전일제/시간제)</t>
  </si>
  <si>
    <t>없음(경제활동상태: 주로/틈틈이 일함)</t>
  </si>
  <si>
    <t>없음</t>
  </si>
  <si>
    <t>"주로 일함"을 Full-time, "틈틈이"를 Part-time으로 근사하거나 고용조사로 추정</t>
  </si>
  <si>
    <t>실업 구분</t>
  </si>
  <si>
    <t>없음(일하지 않았음에 실업·비경제활동 포함)</t>
  </si>
  <si>
    <t>Unemployed/Homemaker/Retired 구분은 연령, 수학구분, 고용조사로 보충 필요</t>
  </si>
  <si>
    <t>직업 분류</t>
  </si>
  <si>
    <t>직업대분류코드(10범주), 산업대분류코드(21범주)</t>
  </si>
  <si>
    <t>부분</t>
  </si>
  <si>
    <t>직무(role_function) 대응의 세부 수준이 낮음(예: 교사 → 전문가). 세분류가 필요하면 고용조사 3자리로 하위 배분</t>
  </si>
  <si>
    <t>가구소득</t>
  </si>
  <si>
    <t>경상소득(보완), 연 단위 만원</t>
  </si>
  <si>
    <t>중앙값 5,009만 원</t>
  </si>
  <si>
    <t>주택담보대출</t>
  </si>
  <si>
    <t>부채_금융부채_담보대출_대출용도_거주주택구입금액</t>
  </si>
  <si>
    <t>0 초과면 Mortgage</t>
  </si>
  <si>
    <t>가구 내 취업자 수</t>
  </si>
  <si>
    <t>가구원정보_종사상지위코드(가구원별)</t>
  </si>
  <si>
    <t>코드 7=기타(무직자, 가사, 학생 등). 1–6을 취업으로 집계</t>
  </si>
  <si>
    <t>지역(시도)</t>
  </si>
  <si>
    <t>수도권여부만</t>
  </si>
  <si>
    <t>소득 모형의 지역 부모는 수도권 여부로 조화</t>
  </si>
  <si>
    <t>현 직장 근속</t>
  </si>
  <si>
    <t>조사대상주간_직장시작연월</t>
  </si>
  <si>
    <t>취업자의 61%에 값 있음</t>
  </si>
  <si>
    <t>본인 임금</t>
  </si>
  <si>
    <t>최근3개월_월평균급여(만원)</t>
  </si>
  <si>
    <t>임금근로자 163,372명. 가구소득 하한 조건에 사용 가능</t>
  </si>
  <si>
    <t>B형 전국 파일. 노동 블록 부모에서 시도 제외</t>
  </si>
  <si>
    <t>PHQ-9, GAD-7</t>
  </si>
  <si>
    <t>BP_PHQ_1–9, mh_PHQ_S, BP_GAD_1–7, mh_GAD_S</t>
  </si>
  <si>
    <t>성인 유효 PHQ 4,845, GAD 5,238</t>
  </si>
  <si>
    <t>흡연·음주·운동·수면·스트레스·주관적 건강</t>
  </si>
  <si>
    <t>BS3_1, BD1_11, pa_aerobic·BE3_31, BP16_1, BP1, D_1_1</t>
  </si>
  <si>
    <t>만성질환</t>
  </si>
  <si>
    <t>DI1_dg(고혈압), DI2_dg, DE1_dg(당뇨), DJ4_dg 등</t>
  </si>
  <si>
    <t>개별 질환 진단 여부로 구성</t>
  </si>
  <si>
    <t>비동거 자녀 수·나이</t>
  </si>
  <si>
    <t>고령화연구패널</t>
  </si>
  <si>
    <t>w10Ba003(생존 자녀 수), 자녀별 연령 w10Ba008_*, 동거 여부 w10Ba013_*</t>
  </si>
  <si>
    <t>61세 이상만. 45–60세는 센서스 출산아 수로 대체</t>
  </si>
  <si>
    <t>Schwartz 가치 10문항</t>
  </si>
  <si>
    <t>세계가치관조사</t>
  </si>
  <si>
    <t>6차 V70–V79(V74B 포함), 5차 V80–V89</t>
  </si>
  <si>
    <t>한국 각 1,200명. 5차 문항 번호 대응 확인 필요</t>
  </si>
  <si>
    <t>한국 성인 성격 자료</t>
  </si>
  <si>
    <t>EXTROVRT, CRITICAL, CONSCNTS, EMOTIONL, OPEN, INTROVRT, AGREEALE, HASTY, EVENTMPD, CLOSED</t>
  </si>
  <si>
    <t>BFI-10, 2009, 2011, 2012년 약 4,500명</t>
  </si>
  <si>
    <t>성·연령별 성격 차이(국가 비교)</t>
  </si>
  <si>
    <t>OECD PIAAC</t>
  </si>
  <si>
    <t>그림 4.2(연령별 평균), 4.3·4.4(성별 차이)</t>
  </si>
  <si>
    <t>한국 포함, 16–65세</t>
  </si>
  <si>
    <t>결혼 전 취업·경력단절</t>
  </si>
  <si>
    <t>결혼전취업유무, 경력단절유무</t>
  </si>
  <si>
    <t>결혼 경험 여성만 응답. 비취업 여성의 Retired, Homemaker 구분에 사용</t>
  </si>
  <si>
    <t>초혼 연령</t>
  </si>
  <si>
    <t>초혼연령코드(7구간, 5세 단위)</t>
  </si>
  <si>
    <t>결혼 경험자 전원 응답. 결혼 연수(demo_relationship_length) 계산</t>
  </si>
  <si>
    <t>출생지·이전 거주지</t>
  </si>
  <si>
    <t>출생지구분코드, 출생지_타행정구역시도코드, 1년전·5년전 거주지 구분코드와 시도</t>
  </si>
  <si>
    <t>지역 이동 경험(lifex_geographic_mobility) 계산</t>
  </si>
  <si>
    <t>반려동물</t>
  </si>
  <si>
    <t>반려동물유무, 반려동물_개·고양이·기타유무</t>
  </si>
  <si>
    <t>가구 단위(lstyle_pet_ownership)</t>
  </si>
  <si>
    <t>자동차 보유</t>
  </si>
  <si>
    <t>자동차주차장소_자동차보유여부</t>
  </si>
  <si>
    <t>운전 여부(demo_driver_status) 근사. 면허 정보 없음</t>
  </si>
  <si>
    <t>사회활동(단체 참여)</t>
  </si>
  <si>
    <t>사회활동_* 10개(정치·사회분야단체 등)</t>
  </si>
  <si>
    <t>정치분야단체는 정치 참여의 부모, 사회분야단체는 봉사 2단계 규칙에 사용</t>
  </si>
  <si>
    <t>우울증 진단·치료</t>
  </si>
  <si>
    <t>없음(2022 공개 파일에 DF2_dg 등 없음)</t>
  </si>
  <si>
    <t>새 속성 kr_depression_care는 제외(결정됨)</t>
  </si>
  <si>
    <t>만성질환 종류</t>
  </si>
  <si>
    <t>뇌졸중, 심근경색, 관절염, 암 진단 변수 없음</t>
  </si>
  <si>
    <t>Schwartz 가치(2021)</t>
  </si>
  <si>
    <t>VALUES1–22</t>
  </si>
  <si>
    <t>가치 모형을 세계가치관조사 대신 이 자료로 추정(결정됨)</t>
  </si>
  <si>
    <t>배경 변수 대응표(초안)</t>
  </si>
  <si>
    <t>센서스 기본 속성과 각 조사의 배경 변수 간 대응 관계이다. 처리 열은 변수 조화 기준의 초안이며, 추가 검토가 필요하다.</t>
  </si>
  <si>
    <t>처리(초안)</t>
  </si>
  <si>
    <t>성</t>
  </si>
  <si>
    <t>가구원정보_성별코드 / 가구주_성별코드</t>
  </si>
  <si>
    <t>sex</t>
  </si>
  <si>
    <t>SEX</t>
  </si>
  <si>
    <t>V240(6차)</t>
  </si>
  <si>
    <t>w10gender1</t>
  </si>
  <si>
    <t>모든 조사 2범주. 그대로 사용</t>
  </si>
  <si>
    <t>연령</t>
  </si>
  <si>
    <t>만연령(0–84, 85+)</t>
  </si>
  <si>
    <t>가구원정보_만연령</t>
  </si>
  <si>
    <t>age</t>
  </si>
  <si>
    <t>AGE</t>
  </si>
  <si>
    <t>V242(6차)</t>
  </si>
  <si>
    <t>w10A002_age</t>
  </si>
  <si>
    <t>센서스 85세 이상 상한에 맞춰 통합</t>
  </si>
  <si>
    <t>시도</t>
  </si>
  <si>
    <t>행정구역시도코드(17)</t>
  </si>
  <si>
    <t>없음(수도권여부)</t>
  </si>
  <si>
    <t>REGION</t>
  </si>
  <si>
    <t>w10region1</t>
  </si>
  <si>
    <t>가계금융은 수도권 여부로 통합, 고용조사는 제외</t>
  </si>
  <si>
    <t>동·읍·면</t>
  </si>
  <si>
    <t>동읍면부구분코드</t>
  </si>
  <si>
    <t>town_t(동/읍면)</t>
  </si>
  <si>
    <t>w10region2</t>
  </si>
  <si>
    <t>동 / 읍, 면 2범주로 통합</t>
  </si>
  <si>
    <t>학력</t>
  </si>
  <si>
    <t>교육정도코드(8) + 수학구분코드(5)</t>
  </si>
  <si>
    <t>교육정도_최종학력코드 + 수학구분코드</t>
  </si>
  <si>
    <t>교육정도_학력구분코드 + 수학구분코드</t>
  </si>
  <si>
    <t>edu, educ</t>
  </si>
  <si>
    <t>EDUC + GRADUATE</t>
  </si>
  <si>
    <t>V248(6차)</t>
  </si>
  <si>
    <t>w10edu</t>
  </si>
  <si>
    <t>재학, 중퇴 처리 기준을 맞춘 뒤 통합. WVS는 범주 확인 필요</t>
  </si>
  <si>
    <t>혼인</t>
  </si>
  <si>
    <t>혼인상태코드(미혼, 배우자 있음, 사별, 이혼)</t>
  </si>
  <si>
    <t>가구원정보_혼인상태코드</t>
  </si>
  <si>
    <t>marri_1, marri_2</t>
  </si>
  <si>
    <t>MARITAL</t>
  </si>
  <si>
    <t>V57(6차)</t>
  </si>
  <si>
    <t>w10marital</t>
  </si>
  <si>
    <t>4범주로 통합</t>
  </si>
  <si>
    <t>경제활동</t>
  </si>
  <si>
    <t>경제활동상태코드(주로/틈틈이/일시휴직/안 함)</t>
  </si>
  <si>
    <t>가구원정보_종사상지위코드</t>
  </si>
  <si>
    <t>경제활동인구상태코드</t>
  </si>
  <si>
    <t>EC1_1</t>
  </si>
  <si>
    <t>EMPLY</t>
  </si>
  <si>
    <t>V229(6차)</t>
  </si>
  <si>
    <t>센서스에 실업 구분이 없어 취업/비취업 2범주가 공통 최대</t>
  </si>
  <si>
    <t>종사상 지위</t>
  </si>
  <si>
    <t>종사상지위코드(4)</t>
  </si>
  <si>
    <t>종사상지위코드</t>
  </si>
  <si>
    <t>EC_stt_1</t>
  </si>
  <si>
    <t>EMPED</t>
  </si>
  <si>
    <t>임금근로/고용원 있는 자영업/없는 자영업/무급가족 4범주</t>
  </si>
  <si>
    <t>직업</t>
  </si>
  <si>
    <t>직업대분류코드(10)</t>
  </si>
  <si>
    <t>가구주_직업대분류코드(가구주만)</t>
  </si>
  <si>
    <t>3자리_8차직업소분류코드</t>
  </si>
  <si>
    <t>EC_occp, occp</t>
  </si>
  <si>
    <t>OCC16A(1자리)</t>
  </si>
  <si>
    <t>센서스 대분류 기준으로 통합</t>
  </si>
  <si>
    <t>산업</t>
  </si>
  <si>
    <t>산업대분류코드(21)</t>
  </si>
  <si>
    <t>가구주_산업대분류코드(가구주만)</t>
  </si>
  <si>
    <t>3자리_11차산업소분류코드</t>
  </si>
  <si>
    <t>센서스 대분류 기준</t>
  </si>
  <si>
    <t>가구원 수</t>
  </si>
  <si>
    <t>가구일련번호로 집계</t>
  </si>
  <si>
    <t>가구원수</t>
  </si>
  <si>
    <t>cfam</t>
  </si>
  <si>
    <t>HOMPOP</t>
  </si>
  <si>
    <t>w10hhsize</t>
  </si>
  <si>
    <t>가구원 경제활동상태로 집계</t>
  </si>
  <si>
    <t>가구원 종사상지위로 집계</t>
  </si>
  <si>
    <t>센서스와 가계금융에서만 공통</t>
  </si>
  <si>
    <t>주거 점유</t>
  </si>
  <si>
    <t>점유형태코드(가구)</t>
  </si>
  <si>
    <t>입주형태코드</t>
  </si>
  <si>
    <t>자가/전세/월세/기타 4범주로 통합</t>
  </si>
  <si>
    <t>경상소득(보완)</t>
  </si>
  <si>
    <t>incm(4분위)</t>
  </si>
  <si>
    <t>INCOME, INCOM0</t>
  </si>
  <si>
    <t>소득 블록에서 생성한 값을 건강 블록 부모(4분위)로 사용</t>
  </si>
  <si>
    <t>국적·출생지</t>
  </si>
  <si>
    <t>출생국적, 현재국적, 출생지구분</t>
  </si>
  <si>
    <t>귀화및인지국적취득또는외국인여부</t>
  </si>
  <si>
    <t>국내 출생 내국인으로 한정하므로 조사 쪽은 내국인만 사용</t>
  </si>
  <si>
    <t>가중치</t>
  </si>
  <si>
    <t>가중값</t>
  </si>
  <si>
    <t>wt_itvex</t>
  </si>
  <si>
    <t>V258(6차)</t>
  </si>
  <si>
    <t>w10wgt_c</t>
  </si>
  <si>
    <t>연도, 차수별 합을 응답자 수로 정규화 후 통합</t>
  </si>
  <si>
    <t>태도/가치관/사회인식 블록: KGSS 문항 후보</t>
  </si>
  <si>
    <t>MatrAIx 태도 속성별 KGSS 후보 문항 중 유효 응답 수 상위 3개를 제시한다. 판단은 초안이며, 추가 검토가 필요하다.</t>
  </si>
  <si>
    <t>문항</t>
  </si>
  <si>
    <t>실린 연도</t>
  </si>
  <si>
    <t>2018년 및 2021년 포함</t>
  </si>
  <si>
    <t>판단(초안)</t>
  </si>
  <si>
    <t>응답자 종교</t>
  </si>
  <si>
    <t>2003,2004,2005,2006,2007,2008,2009,2010,2011,2012,2013,2014,2016,2018,2021,2023,2025</t>
  </si>
  <si>
    <t>예</t>
  </si>
  <si>
    <t>적합</t>
  </si>
  <si>
    <t>ATTEND</t>
  </si>
  <si>
    <t>응답자 종교집회 참석 빈도</t>
  </si>
  <si>
    <t>RELITEN</t>
  </si>
  <si>
    <t>(종교 있다면) 응답자 신앙심</t>
  </si>
  <si>
    <t>CONCLERG</t>
  </si>
  <si>
    <t>기관 지도층에 대한 신뢰2: 종교계</t>
  </si>
  <si>
    <t>부분: 종교계 신뢰로 근사</t>
  </si>
  <si>
    <t>정치적 진보, 보수 성향</t>
  </si>
  <si>
    <t>SIGNPET</t>
  </si>
  <si>
    <t>정치적 참여의사 및 참여여부1: 진정서서명</t>
  </si>
  <si>
    <t>2004,2009,2014,2016,2018</t>
  </si>
  <si>
    <t>부분: 문항, 연도 분산</t>
  </si>
  <si>
    <t>JOINDEM</t>
  </si>
  <si>
    <t>정치적 참여의사 및 참여여부3: 시위참가</t>
  </si>
  <si>
    <t>ATTRALLY</t>
  </si>
  <si>
    <t>정치적 참여의사 및 참여여부4: 정치집회참가</t>
  </si>
  <si>
    <t>trust_level</t>
  </si>
  <si>
    <t>TRUST</t>
  </si>
  <si>
    <t>일반인들에 대한 신뢰</t>
  </si>
  <si>
    <t>2003,2005,2006,2009,2013,2014</t>
  </si>
  <si>
    <t>아니오</t>
  </si>
  <si>
    <t>부분: 2014년이 마지막</t>
  </si>
  <si>
    <t>IMMCRIME</t>
  </si>
  <si>
    <t>외국인 이민자에 대한 의견1: 범죄율 상승</t>
  </si>
  <si>
    <t>2003,2013,2023</t>
  </si>
  <si>
    <t>부분: 연도마다 문항 다름</t>
  </si>
  <si>
    <t>IMMGFILL</t>
  </si>
  <si>
    <t>이민자들은 인력이 부족한 직종을 채워준다</t>
  </si>
  <si>
    <t>2010</t>
  </si>
  <si>
    <t>IMMIREST</t>
  </si>
  <si>
    <t>이민 제한</t>
  </si>
  <si>
    <t>HUBBYWRK</t>
  </si>
  <si>
    <t>성역할에 대한 의견2: 남자는 돈을 벌고 여자는 가정과 가족을 돌보는 것</t>
  </si>
  <si>
    <t>2003,2012</t>
  </si>
  <si>
    <t>적합(2018 포함)</t>
  </si>
  <si>
    <t>SEXROLE2</t>
  </si>
  <si>
    <t>성역할에 대한 인식2: 아내가 할 일은 가정과 가족을 돌보는 것</t>
  </si>
  <si>
    <t>2006,2016</t>
  </si>
  <si>
    <t>HBBYWK08</t>
  </si>
  <si>
    <t>남자가 할 일은 돈을 버는 것이고 여자가 할 일은 가정과 가족을 돌보는 것이다</t>
  </si>
  <si>
    <t>2008,2018</t>
  </si>
  <si>
    <t>CONLABOR</t>
  </si>
  <si>
    <t>기관 지도층에 대한 신뢰4: 노동조합</t>
  </si>
  <si>
    <t>부분: 노조 신뢰로 근사</t>
  </si>
  <si>
    <t>MEMB8</t>
  </si>
  <si>
    <t>조직/모임 가입 및 참여정도8: 노동조합</t>
  </si>
  <si>
    <t>2012,2023</t>
  </si>
  <si>
    <t>UNION2</t>
  </si>
  <si>
    <t>노동조합에 대한 의견2: 노동조합이 없다면 근로자의 근로조건 더 악화</t>
  </si>
  <si>
    <t>2005</t>
  </si>
  <si>
    <t>GOVEQINC</t>
  </si>
  <si>
    <t>정부의 고소득자와 저소득자간 소득격차 축소 책임에 대한 의견</t>
  </si>
  <si>
    <t>2003,2009,2010,2011,2014,2021</t>
  </si>
  <si>
    <t>부분: 정부 책임 문항으로 근사</t>
  </si>
  <si>
    <t>GOVUNEMP</t>
  </si>
  <si>
    <t>정부의 실업자 생활 보장 책임에 대한 의견</t>
  </si>
  <si>
    <t>2009,2011,2014,2021</t>
  </si>
  <si>
    <t>GOVSUP3</t>
  </si>
  <si>
    <t>정부정책에 대한 지지도3: 기업규제 완화</t>
  </si>
  <si>
    <t>2006,2016,2018</t>
  </si>
  <si>
    <t>att_free_markets</t>
  </si>
  <si>
    <t>INT5_KR</t>
  </si>
  <si>
    <t>인터넷의 한국사회에 대한 기여도 평가5: 국내 가요시장의 확대</t>
  </si>
  <si>
    <t>대응 없음</t>
  </si>
  <si>
    <t>SPGAPUR3</t>
  </si>
  <si>
    <t>운동이나 게임의 목적3: 타인과 경쟁하기</t>
  </si>
  <si>
    <t>MYVALUE4</t>
  </si>
  <si>
    <t>근로자의 자기가치 평가4: 고용시장에서 내 경험과 기술수준은 충분한 가치가 있다</t>
  </si>
  <si>
    <t>환경보호를 위해 더 많은 비용을 지불할 의향</t>
  </si>
  <si>
    <t>2010,2014,2021</t>
  </si>
  <si>
    <t>적합(2021 포함)</t>
  </si>
  <si>
    <t>GRNTAXES</t>
  </si>
  <si>
    <t>환경보호를 위해 더 많은 세금을 낼 의향</t>
  </si>
  <si>
    <t>GRNSOL</t>
  </si>
  <si>
    <t>환경보호를 위해 생활수준을 낮출 의향</t>
  </si>
  <si>
    <t>NUKEGEN</t>
  </si>
  <si>
    <t>환경 위협에 대한 인식7: 원자력 발전소</t>
  </si>
  <si>
    <t>적합(2018, 2021, 2023)</t>
  </si>
  <si>
    <t>CAPA25</t>
  </si>
  <si>
    <t>[한국정부의 대처능력] 환경 관련 위험1: 원전사고</t>
  </si>
  <si>
    <t>2013,2014</t>
  </si>
  <si>
    <t>HAZA25</t>
  </si>
  <si>
    <t>[응답자에 발생할 가능성] 환경 관련 위험1: 원전사고</t>
  </si>
  <si>
    <t>att_genetic_engineering</t>
  </si>
  <si>
    <t>GENEGEN</t>
  </si>
  <si>
    <t>환경 위협에 대한 인식6: 농산물 유전자 변형</t>
  </si>
  <si>
    <t>부분: 위협 인식 문항</t>
  </si>
  <si>
    <t>기본소득제도 도입에 대한 찬반 의견</t>
  </si>
  <si>
    <t>2018,2021</t>
  </si>
  <si>
    <t>적합(2018, 2021)</t>
  </si>
  <si>
    <t>TAXBASIC</t>
  </si>
  <si>
    <t>기본소득 도입 재원: 세금</t>
  </si>
  <si>
    <t>att_capital_punishment</t>
  </si>
  <si>
    <t>CNSRVTV10</t>
  </si>
  <si>
    <t>찬반의견10: 사형제 폐지</t>
  </si>
  <si>
    <t>대응 약함: 2016 1회</t>
  </si>
  <si>
    <t>IMPORTS</t>
  </si>
  <si>
    <t>국제관계에 대한 의견1: 국가경제를 보호하기 위해 외국상품 수입 제한</t>
  </si>
  <si>
    <t>2003,2013,2021,2023</t>
  </si>
  <si>
    <t>부분: 국제관계 문항군</t>
  </si>
  <si>
    <t>PROUDPOL</t>
  </si>
  <si>
    <t>한국의 국제 정치 영향력에 대한 자긍심</t>
  </si>
  <si>
    <t>2003,2013,2023,2025</t>
  </si>
  <si>
    <t>KROWNWAY</t>
  </si>
  <si>
    <t>국제관계에 대한 의견3: 다른 나라와 갈등이 일어나더라도 국익 추구</t>
  </si>
  <si>
    <t>att_new_technology</t>
  </si>
  <si>
    <t>PROUDSCI</t>
  </si>
  <si>
    <t>한국의 과학기술 성취에 대한 자긍심</t>
  </si>
  <si>
    <t>대응 약함</t>
  </si>
  <si>
    <t>GOVSUP4</t>
  </si>
  <si>
    <t>정부정책에 대한 지지도4: 신상품 및 신기술 개발 지원</t>
  </si>
  <si>
    <t>CAPA16</t>
  </si>
  <si>
    <t>[한국정부의 대처능력] 사회생활 관련 위험4: 과학기술 및 정보통신 기술의 위험</t>
  </si>
  <si>
    <t>PUBFUND2</t>
  </si>
  <si>
    <t>공적 자금 제공에 대한 태도2: 에이즈 치료(HIV/AIDS)</t>
  </si>
  <si>
    <t>부분: 2025년만</t>
  </si>
  <si>
    <t>WRYMCHAI</t>
  </si>
  <si>
    <t>기계·컴퓨터·인공지능의 인간 일자리 대체에 대한 우려</t>
  </si>
  <si>
    <t>ROBOTOPR</t>
  </si>
  <si>
    <t>로봇이나 인공지능에 대한 태도1: 내 수술을 로봇이 담당하는 것</t>
  </si>
  <si>
    <t>att_vaccines</t>
  </si>
  <si>
    <t>VACCINE</t>
  </si>
  <si>
    <t>코로나 백신 접종</t>
  </si>
  <si>
    <t>대응 약함: 2021 코로나 백신</t>
  </si>
  <si>
    <t>SURVECAM</t>
  </si>
  <si>
    <t>감시 권한1: 공공장소 비디오카메라</t>
  </si>
  <si>
    <t>2016,2025</t>
  </si>
  <si>
    <t>부분: 2016, 2025</t>
  </si>
  <si>
    <t>SURVEINT25</t>
  </si>
  <si>
    <t>감시 권한2: 인터넷 정보 감시 (2025)</t>
  </si>
  <si>
    <t>SURVEINT</t>
  </si>
  <si>
    <t>감시 권한2: 인터넷 정보 감시 (2016)</t>
  </si>
  <si>
    <t>POLLWRRY</t>
  </si>
  <si>
    <t>선거여론조사의 개인정보 보안에 대한 우려</t>
  </si>
  <si>
    <t>2023,2025</t>
  </si>
  <si>
    <t>부분: 2023, 2025</t>
  </si>
  <si>
    <t>GIVEPIFR</t>
  </si>
  <si>
    <t>개인정보 제공에 대한 태도1: 할인이나 무료 상품을 받기 위해 제공할 것</t>
  </si>
  <si>
    <t>GIVEPIPC</t>
  </si>
  <si>
    <t>개인정보 제공에 대한 태도2: 민간기업이 나의 개인정보를 사용하여 이익을 내더라도</t>
  </si>
  <si>
    <t>att_social_media</t>
  </si>
  <si>
    <t>SNSTM</t>
  </si>
  <si>
    <t>SNS 하루평균 사용시간: 시간</t>
  </si>
  <si>
    <t>2012,2013,2016,2023</t>
  </si>
  <si>
    <t>대응 약함: 이용 행태 문항</t>
  </si>
  <si>
    <t>SNSMN</t>
  </si>
  <si>
    <t>SNS 하루평균 사용시간: 분</t>
  </si>
  <si>
    <t>INTSNS16</t>
  </si>
  <si>
    <t>인터넷 서비스별 이용 여부 및 빈도2: SNS</t>
  </si>
  <si>
    <t>2016,2023</t>
  </si>
  <si>
    <t>PUBPAR1</t>
  </si>
  <si>
    <t>공공활동 참여경험1: 지역사회 개선 위한 자원봉사 활동</t>
  </si>
  <si>
    <t>2012</t>
  </si>
  <si>
    <t>대응 약함: 2012년만</t>
  </si>
  <si>
    <t>PUBPAR2</t>
  </si>
  <si>
    <t>공공활동 참여경험2: 스포츠, 문화, 예술, 학술 관련 자원봉사 활동</t>
  </si>
  <si>
    <t>PUBPAR3</t>
  </si>
  <si>
    <t>공공활동 참여경험3: 사회적 취약 집단 관련 자원봉사 활동</t>
  </si>
  <si>
    <t>RIGHT11</t>
  </si>
  <si>
    <t>권리 존중, 제한 정도11: 언론 및 표현의 자유</t>
  </si>
  <si>
    <t>부분: 2011, 2025</t>
  </si>
  <si>
    <t>FREESPCH1A</t>
  </si>
  <si>
    <t>표현의 자유로 보호되어야 하는 정도1: 정부를 강하게 비판하는 발언</t>
  </si>
  <si>
    <t>FREESPCH3A</t>
  </si>
  <si>
    <t>표현의 자유로 보호되어야 하는 정도3: 특정 인종이나 민족에 대한 차별적 발언</t>
  </si>
  <si>
    <t>att_risk_taking</t>
  </si>
  <si>
    <t>TAKERISK</t>
  </si>
  <si>
    <t>성격특성11: 나는 위험을 감수하는 것을 즐긴다</t>
  </si>
  <si>
    <t>부분: 2025년 1문항</t>
  </si>
  <si>
    <t>PATRACH1</t>
  </si>
  <si>
    <t>가부장제 가치에 대한 인식1: 아버지의 권위는 어떤 경우에도 존중</t>
  </si>
  <si>
    <t>2006,2008,2016,2018</t>
  </si>
  <si>
    <t>부분: 가부장 권위 문항</t>
  </si>
  <si>
    <t>PATRACH123</t>
  </si>
  <si>
    <t>HRPUB02</t>
  </si>
  <si>
    <t>공공기관의 인권보장 노력2: 국가인권위원회</t>
  </si>
  <si>
    <t>att_higher_education</t>
  </si>
  <si>
    <t>GOODSCHL</t>
  </si>
  <si>
    <t>출신 학교와 대학 교육 기회에 대한 인식</t>
  </si>
  <si>
    <t>2009,2014</t>
  </si>
  <si>
    <t>att_homeownership</t>
  </si>
  <si>
    <t>SHRINE</t>
  </si>
  <si>
    <t>집에 사당, 위패, 신주 소유 여부</t>
  </si>
  <si>
    <t>att_taking_on_debt</t>
  </si>
  <si>
    <t>KGSS 기반 MatrAIx 속성 대응 후보(태도 제외)</t>
  </si>
  <si>
    <t>속성별 대표 문항 1개를 제시한다. 적합은 동일 개념, 부분은 근사 대응을 의미한다. 처리 열은 초안이며, 추가 검토가 필요하다.</t>
  </si>
  <si>
    <t>최선 대응 강도</t>
  </si>
  <si>
    <t>대표 KGSS 변수</t>
  </si>
  <si>
    <t>2018년 이후 포함</t>
  </si>
  <si>
    <t>적합 문항 수</t>
  </si>
  <si>
    <t>부분 문항 수</t>
  </si>
  <si>
    <t>다른 적합 문항</t>
  </si>
  <si>
    <t>Religious affiliation</t>
  </si>
  <si>
    <t>KGSS로 생성 후보</t>
  </si>
  <si>
    <t>Value: Patriotism</t>
  </si>
  <si>
    <t>국가자긍심</t>
  </si>
  <si>
    <t>KRCITIZN, KRBETTER</t>
  </si>
  <si>
    <t>Political lean</t>
  </si>
  <si>
    <t>LEFTRIGT</t>
  </si>
  <si>
    <t>Religiosity</t>
  </si>
  <si>
    <t>RELITEN, PRAYFREQ, RELIGOUS, GODBELI, GODCONC</t>
  </si>
  <si>
    <t>Insurance status</t>
  </si>
  <si>
    <t>건강 보험 종류</t>
  </si>
  <si>
    <t>2010,2011,2021,2023,2025</t>
  </si>
  <si>
    <t>IMPLF1</t>
  </si>
  <si>
    <t>인생에서 첫 번째로 중요한 것</t>
  </si>
  <si>
    <t>2006,2007,2008,2009</t>
  </si>
  <si>
    <t>IMPLF2</t>
  </si>
  <si>
    <t>Interest: Environment</t>
  </si>
  <si>
    <t>전반적인 환경에 대한 걱정</t>
  </si>
  <si>
    <t>Character: Empathy</t>
  </si>
  <si>
    <t>OTHERS1</t>
  </si>
  <si>
    <t>나보다 불행한 사람을 보면 동정심이 생기고 걱정이 된다</t>
  </si>
  <si>
    <t>2011,2023,2025</t>
  </si>
  <si>
    <t>OTHERS2</t>
  </si>
  <si>
    <t>Interest: Politics</t>
  </si>
  <si>
    <t>정치에 대한 관심도</t>
  </si>
  <si>
    <t>2006,2016,2025</t>
  </si>
  <si>
    <t>POLPAR03, POLINT04</t>
  </si>
  <si>
    <t>Energy level</t>
  </si>
  <si>
    <t>지난 한 달간 정서 경험2: 활력감</t>
  </si>
  <si>
    <t>2010,2021</t>
  </si>
  <si>
    <t>FATIGUE</t>
  </si>
  <si>
    <t>Value: Sustainability</t>
  </si>
  <si>
    <t>돈이나 시간이 더 들더라도 환경을 위해 좋은 것이면 한다는 것에 대한 의견</t>
  </si>
  <si>
    <t>VALUES19</t>
  </si>
  <si>
    <t>Chronic pain</t>
  </si>
  <si>
    <t>통증에 의한 일상적 일에 대한 방해 정도</t>
  </si>
  <si>
    <t>HLTPBM2</t>
  </si>
  <si>
    <t>Birth order</t>
  </si>
  <si>
    <t>SIBNO1</t>
  </si>
  <si>
    <t>형제자매수1: 형 또는 오빠(사망자포함)</t>
  </si>
  <si>
    <t>SIBNO4, SIBNO2, SIBNO5</t>
  </si>
  <si>
    <t>Cooking frequency</t>
  </si>
  <si>
    <t>HOUWK1</t>
  </si>
  <si>
    <t>집안일을 하는 빈도1: 저녁식사 준비</t>
  </si>
  <si>
    <t>Moral Foundation Authority/Subversion</t>
  </si>
  <si>
    <t>위계 관계1: 부하는 상관의 지시에 동의할 수 없더라도 복종할 것</t>
  </si>
  <si>
    <t>AUTHORT5</t>
  </si>
  <si>
    <t>Travel breadth</t>
  </si>
  <si>
    <t>TRVLJP</t>
  </si>
  <si>
    <t>해외여행 경험2: 일본</t>
  </si>
  <si>
    <t>TRVLCN, TRVLSEA, TRVLEUR, TRVLNAM, TRVLTW</t>
  </si>
  <si>
    <t>Risk tolerance</t>
  </si>
  <si>
    <t>모험지향1: 모험과 기회가 많은 삶이 평범하고 안정된 삶보다 더 바람직</t>
  </si>
  <si>
    <t>Interest: Anime</t>
  </si>
  <si>
    <t>관람 및 시청빈도: 일본 애니메이션</t>
  </si>
  <si>
    <t>DOSPERT Financial Risk Tolerance</t>
  </si>
  <si>
    <t>모험지향2: 여윳돈이 있다면 위험하더라도 보상이 많은 곳에 투자</t>
  </si>
  <si>
    <t>Interest: Spirituality</t>
  </si>
  <si>
    <t>초자연적인 것에 대한 관심</t>
  </si>
  <si>
    <t>Faith journey</t>
  </si>
  <si>
    <t>현재 신을 믿고 있는지 여부</t>
  </si>
  <si>
    <t>Character: Hope / optimism</t>
  </si>
  <si>
    <t>LOTR6</t>
  </si>
  <si>
    <t>낙관성6: 나쁜 일보다 좋은 일이 많을 것</t>
  </si>
  <si>
    <t>2016,2018</t>
  </si>
  <si>
    <t>LOTR5, LOTR3, LOTR4, LOTR1, LOTR2</t>
  </si>
  <si>
    <t>Relationship length</t>
  </si>
  <si>
    <t>MARYEAR</t>
  </si>
  <si>
    <t>현 배우자와 결혼한 연도</t>
  </si>
  <si>
    <t>센서스로 대체(결정됨)</t>
  </si>
  <si>
    <t>Charitable giving</t>
  </si>
  <si>
    <t>DONN6</t>
  </si>
  <si>
    <t>나는 정부가 하는 것과 관계없이 자선적 이유로 돈을 기부하곤 한다</t>
  </si>
  <si>
    <t>Geographic mobility</t>
  </si>
  <si>
    <t>RESIDEXP</t>
  </si>
  <si>
    <t>거주지 이동 경험</t>
  </si>
  <si>
    <t>Music: Pop</t>
  </si>
  <si>
    <t>MUSIC4</t>
  </si>
  <si>
    <t>음악장르에 대한 호감도4: 대중음악</t>
  </si>
  <si>
    <t>Habit: Naps</t>
  </si>
  <si>
    <t>LTAC14</t>
  </si>
  <si>
    <t>여가활동 빈도14: 낮잠 자기</t>
  </si>
  <si>
    <t>Hobby: Karaoke</t>
  </si>
  <si>
    <t>LTAC16</t>
  </si>
  <si>
    <t>여가활동 빈도16: 노래방 가기</t>
  </si>
  <si>
    <t>Music listening</t>
  </si>
  <si>
    <t>CULACT01</t>
  </si>
  <si>
    <t>지난해 문화활동 빈도1: 음악 청취</t>
  </si>
  <si>
    <t>LTAC09</t>
  </si>
  <si>
    <t>lstyle_sleep_schedule</t>
  </si>
  <si>
    <t>Sleep schedule</t>
  </si>
  <si>
    <t>YBEDAMPM</t>
  </si>
  <si>
    <t>어제 취침시간: 오전/오후</t>
  </si>
  <si>
    <t>YBEDHR, YBEDMN, YGETAMPM, YGETHR, YGETMN</t>
  </si>
  <si>
    <t>제외(결정됨)</t>
  </si>
  <si>
    <t>Reading frequency</t>
  </si>
  <si>
    <t>LTAC04</t>
  </si>
  <si>
    <t>여가활동 빈도4: 독서하기</t>
  </si>
  <si>
    <t>Music: Rock</t>
  </si>
  <si>
    <t>MUSIC2</t>
  </si>
  <si>
    <t>음악장르에 대한 호감도2: 록음악</t>
  </si>
  <si>
    <t>Music: Classical</t>
  </si>
  <si>
    <t>MUSIC1</t>
  </si>
  <si>
    <t>음악장르에 대한 호감도1: 서양 고전음악</t>
  </si>
  <si>
    <t>Value: Family</t>
  </si>
  <si>
    <t>FAMILY</t>
  </si>
  <si>
    <t>인생에서 가족의 중요도 평가</t>
  </si>
  <si>
    <t>Value: Health</t>
  </si>
  <si>
    <t>HEALTH</t>
  </si>
  <si>
    <t>인생에서 건강의 중요도 평가</t>
  </si>
  <si>
    <t>val_power_influence</t>
  </si>
  <si>
    <t>Value: Power &amp; influence</t>
  </si>
  <si>
    <t>POWER</t>
  </si>
  <si>
    <t>인생에서 권력의 중요도 평가</t>
  </si>
  <si>
    <t>Value: Spirituality / faith</t>
  </si>
  <si>
    <t>RELIGION</t>
  </si>
  <si>
    <t>인생에서 종교의 중요도 평가</t>
  </si>
  <si>
    <t>Planning horizon</t>
  </si>
  <si>
    <t>그저 하루하루를 살아가고 있을 뿐 장래에 대해서는 생각하지 않는다</t>
  </si>
  <si>
    <t>Volunteering</t>
  </si>
  <si>
    <t>지난 1년간 봉사 및 자선 단체 활동 참여 경험</t>
  </si>
  <si>
    <t>Lead vs follow</t>
  </si>
  <si>
    <t>BELEADER</t>
  </si>
  <si>
    <t>성격특성12: 나는 지도자 역할을 맡는 것을 좋아한다</t>
  </si>
  <si>
    <t>val_fun_enjoyment</t>
  </si>
  <si>
    <t>Value: Fun &amp; enjoyment</t>
  </si>
  <si>
    <t>VALUES10</t>
  </si>
  <si>
    <t>슈와츠 가치 척도 10: 좋은 시간을 보내는 것</t>
  </si>
  <si>
    <t>VALUES22</t>
  </si>
  <si>
    <t>Health literacy</t>
  </si>
  <si>
    <t>처방전 이해를 위한 도움 필요 여부</t>
  </si>
  <si>
    <t>val_achievement</t>
  </si>
  <si>
    <t>Value: Achievement</t>
  </si>
  <si>
    <t>VALUES13</t>
  </si>
  <si>
    <t>슈와츠 가치 척도 13: 성공하는 것</t>
  </si>
  <si>
    <t>val_adventure</t>
  </si>
  <si>
    <t>Value: Adventure</t>
  </si>
  <si>
    <t>VALUES15</t>
  </si>
  <si>
    <t>슈와츠 가치 척도 15: 모험을 추구하는 것</t>
  </si>
  <si>
    <t>val_helping_others</t>
  </si>
  <si>
    <t>Value: Helping others</t>
  </si>
  <si>
    <t>VALUES21</t>
  </si>
  <si>
    <t>슈와츠 가치 척도 21: 사람들을 돕고 사회에 기여하는 것</t>
  </si>
  <si>
    <t>VALUES12, PEOPLE1</t>
  </si>
  <si>
    <t>val_independence</t>
  </si>
  <si>
    <t>Value: Independence</t>
  </si>
  <si>
    <t>VALUES11</t>
  </si>
  <si>
    <t>슈와츠 가치 척도 11: 자신의 일을 스스로 결정하는 것</t>
  </si>
  <si>
    <t>PEOPLE2</t>
  </si>
  <si>
    <t>val_loyalty</t>
  </si>
  <si>
    <t>Value: Loyalty</t>
  </si>
  <si>
    <t>VALUES18</t>
  </si>
  <si>
    <t>슈와츠 가치 척도 18: 친구들에게 충실한 것</t>
  </si>
  <si>
    <t>val_equality</t>
  </si>
  <si>
    <t>Value: Equality</t>
  </si>
  <si>
    <t>VALUES3</t>
  </si>
  <si>
    <t>슈와츠 가치 척도 3: 공평하게 대우받는 것</t>
  </si>
  <si>
    <t>val_wealth</t>
  </si>
  <si>
    <t>Value: Wealth</t>
  </si>
  <si>
    <t>VALUES2</t>
  </si>
  <si>
    <t>슈와츠 가치 척도 2: 부자가 되는 것</t>
  </si>
  <si>
    <t>MONEY</t>
  </si>
  <si>
    <t>val_security_stability</t>
  </si>
  <si>
    <t>Value: Security &amp; stability</t>
  </si>
  <si>
    <t>VALUES5</t>
  </si>
  <si>
    <t>슈와츠 가치 척도 5: 안전한 환경에서 사는 것</t>
  </si>
  <si>
    <t>val_tradition</t>
  </si>
  <si>
    <t>Value: Tradition</t>
  </si>
  <si>
    <t>VALUES20</t>
  </si>
  <si>
    <t>슈와츠 가치 척도 20: 전통과 관습을 따르는 것</t>
  </si>
  <si>
    <t>val_creativity_self_expression</t>
  </si>
  <si>
    <t>Value: Creativity &amp; self-expression</t>
  </si>
  <si>
    <t>VALUES1</t>
  </si>
  <si>
    <t>슈와츠 가치 척도 1: 창의적인 것</t>
  </si>
  <si>
    <t>Gaming frequency</t>
  </si>
  <si>
    <t>USEGAMES</t>
  </si>
  <si>
    <t>인터넷 활용 목적별 사용 빈도4: 게임</t>
  </si>
  <si>
    <t>CULACT03</t>
  </si>
  <si>
    <t>schwartz_value_hedonism</t>
  </si>
  <si>
    <t>Schwartz Hedonism</t>
  </si>
  <si>
    <t>가치 모형에서 생성. KGSS 2021 Schwartz 문항을 모형 추정에 사용 가능</t>
  </si>
  <si>
    <t>schwartz_value_tradition</t>
  </si>
  <si>
    <t>Schwartz Tradition</t>
  </si>
  <si>
    <t>VALUES9</t>
  </si>
  <si>
    <t>슈와츠 가치 척도 9: 겸손한 것</t>
  </si>
  <si>
    <t>schwartz_value_achievement</t>
  </si>
  <si>
    <t>Schwartz Achievement</t>
  </si>
  <si>
    <t>VALUES4</t>
  </si>
  <si>
    <t>schwartz_value_stimulation</t>
  </si>
  <si>
    <t>Schwartz Stimulation</t>
  </si>
  <si>
    <t>VALUES6</t>
  </si>
  <si>
    <t>schwartz_value_benevolence</t>
  </si>
  <si>
    <t>Schwartz Benevolence</t>
  </si>
  <si>
    <t>VALUES12</t>
  </si>
  <si>
    <t>schwartz_value_conformity</t>
  </si>
  <si>
    <t>Schwartz Conformity</t>
  </si>
  <si>
    <t>VALUES7</t>
  </si>
  <si>
    <t>슈와츠 가치 척도 7: 언제나 규칙을 지키는 것</t>
  </si>
  <si>
    <t>VALUES16</t>
  </si>
  <si>
    <t>schwartz_value_self_direction</t>
  </si>
  <si>
    <t>Schwartz Self-Direction</t>
  </si>
  <si>
    <t>schwartz_value_universalism</t>
  </si>
  <si>
    <t>Schwartz Universalism</t>
  </si>
  <si>
    <t>VALUES8</t>
  </si>
  <si>
    <t>슈와츠 가치 척도 8: 다른 사람들의 의견을 듣는 것</t>
  </si>
  <si>
    <t>VALUES3, VALUES19</t>
  </si>
  <si>
    <t>schwartz_value_power</t>
  </si>
  <si>
    <t>Schwartz Power</t>
  </si>
  <si>
    <t>VALUES17</t>
  </si>
  <si>
    <t>schwartz_value_security</t>
  </si>
  <si>
    <t>Schwartz Security</t>
  </si>
  <si>
    <t>VALUES14</t>
  </si>
  <si>
    <t>슈와츠 가치 척도 14: 정부가 안전을 보장하는 것</t>
  </si>
  <si>
    <t>General health</t>
  </si>
  <si>
    <t>HEALTHY</t>
  </si>
  <si>
    <t>건강상태</t>
  </si>
  <si>
    <t>2007,2009,2010,2011,2012,2013,2018</t>
  </si>
  <si>
    <t>HEALTH23, HEALTH21, HEALR</t>
  </si>
  <si>
    <t>국민건강영양조사가 기본 출처. KGSS는 검증용</t>
  </si>
  <si>
    <t>Stress level</t>
  </si>
  <si>
    <t>STRESFUL</t>
  </si>
  <si>
    <t>스트레스</t>
  </si>
  <si>
    <t>2007,2009,2010,2011</t>
  </si>
  <si>
    <t>Chronic condition</t>
  </si>
  <si>
    <t>CHRONIC</t>
  </si>
  <si>
    <t>만성질환 또는 오래된 건강문제가 있는지 여부</t>
  </si>
  <si>
    <t>2010,2011,2021,2023</t>
  </si>
  <si>
    <t>DIGDIABT, DIGRHEUM, DIGLUPUS, DIGGOUT</t>
  </si>
  <si>
    <t>Alcohol use</t>
  </si>
  <si>
    <t>FREQDRNK</t>
  </si>
  <si>
    <t>음주 정도</t>
  </si>
  <si>
    <t>LTAC15</t>
  </si>
  <si>
    <t>Smoking / vaping</t>
  </si>
  <si>
    <t>SMOKEELE</t>
  </si>
  <si>
    <t>흡연</t>
  </si>
  <si>
    <t>FREQSMOK, FREQSM10</t>
  </si>
  <si>
    <t>Sleep quality</t>
  </si>
  <si>
    <t>SLEEPQOL</t>
  </si>
  <si>
    <t>한 달간 수면의 질</t>
  </si>
  <si>
    <t>SLPDSODR</t>
  </si>
  <si>
    <t>Exercise frequency</t>
  </si>
  <si>
    <t>PHSYHRS</t>
  </si>
  <si>
    <t>일주일간 숨이 차는 육체활동</t>
  </si>
  <si>
    <t>FREQEXER, FREQEX10, LTAC10</t>
  </si>
  <si>
    <t>big5_trust</t>
  </si>
  <si>
    <t>Trust</t>
  </si>
  <si>
    <t>CANTRUST</t>
  </si>
  <si>
    <t>사람들에 대한 신뢰</t>
  </si>
  <si>
    <t>2004,2007,2008,2010,2011,2012,2014,2016,2018,2021,2023,2025</t>
  </si>
  <si>
    <t>TRUST5, POSAFF2</t>
  </si>
  <si>
    <t>성격 모형의 잠재 점수에서 생성. KGSS 성격 문항은 모형 추정에 사용</t>
  </si>
  <si>
    <t>bfi2_domain_agreeableness</t>
  </si>
  <si>
    <t>BFI-2 Agreeableness</t>
  </si>
  <si>
    <t>AGREEALE</t>
  </si>
  <si>
    <t>성격특성7: 동정심 / 다정다감</t>
  </si>
  <si>
    <t>2009,2011,2012</t>
  </si>
  <si>
    <t>CRITICAL, NEGAFF1</t>
  </si>
  <si>
    <t>bfi2_domain_open_mindedness</t>
  </si>
  <si>
    <t>BFI-2 Open-Mindedness</t>
  </si>
  <si>
    <t>CLOSED</t>
  </si>
  <si>
    <t>성격특성10: 변화 싫어함 / 창의적이지 못함</t>
  </si>
  <si>
    <t>OPEN, NEGAFF4, POSAFF5</t>
  </si>
  <si>
    <t>bfi2_domain_extraversion</t>
  </si>
  <si>
    <t>BFI-2 Extraversion</t>
  </si>
  <si>
    <t>EXTROVRT</t>
  </si>
  <si>
    <t>성격특성1: 외향적 / 적극적</t>
  </si>
  <si>
    <t>INTROVRT, POSAFF6, POSAFF1</t>
  </si>
  <si>
    <t>bfi2_domain_negative_emotionality</t>
  </si>
  <si>
    <t>BFI-2 Negative Emotionality</t>
  </si>
  <si>
    <t>EVENTMPD</t>
  </si>
  <si>
    <t>성격특성9: 차분함 / 감정기복 적음</t>
  </si>
  <si>
    <t>EMOTIONL, NEGAFF3, POSAFF4</t>
  </si>
  <si>
    <t>bfi2_domain_conscientiousness</t>
  </si>
  <si>
    <t>BFI-2 Conscientiousness</t>
  </si>
  <si>
    <t>CONSCNTS</t>
  </si>
  <si>
    <t>성격특성3: 신뢰할 수 있음 / 자기 절제</t>
  </si>
  <si>
    <t>HASTY, NEGAFF2, POSAFF3</t>
  </si>
  <si>
    <t>big5_sympathy</t>
  </si>
  <si>
    <t>Sympathy</t>
  </si>
  <si>
    <t>bfi2_facet_anxiety</t>
  </si>
  <si>
    <t>BFI-2 Anxiety</t>
  </si>
  <si>
    <t>NEGAFF3</t>
  </si>
  <si>
    <t>자기 평가9: 신경이 예민함</t>
  </si>
  <si>
    <t>bfi2_facet_sociability</t>
  </si>
  <si>
    <t>BFI-2 Sociability</t>
  </si>
  <si>
    <t>POSAFF6</t>
  </si>
  <si>
    <t>자기 평가6: 외향적이고 사교적임</t>
  </si>
  <si>
    <t>bfi2_facet_trust</t>
  </si>
  <si>
    <t>BFI-2 Trust</t>
  </si>
  <si>
    <t>POSAFF2</t>
  </si>
  <si>
    <t>자기 평가2: 신뢰함</t>
  </si>
  <si>
    <t>bfi2_facet_aesthetic_sensitivity</t>
  </si>
  <si>
    <t>BFI-2 Aesthetic Sensitivity</t>
  </si>
  <si>
    <t>NEGAFF4</t>
  </si>
  <si>
    <t>자기 평가10: 예술적 관심이 거의 없음</t>
  </si>
  <si>
    <t>big5_artistic_interest</t>
  </si>
  <si>
    <t>Artistic interest</t>
  </si>
  <si>
    <t>bfi2_facet_creative_imagination</t>
  </si>
  <si>
    <t>BFI-2 Creative Imagination</t>
  </si>
  <si>
    <t>POSAFF5</t>
  </si>
  <si>
    <t>자기 평가5: 상상력 풍부함</t>
  </si>
  <si>
    <t>big5_imagination</t>
  </si>
  <si>
    <t>Imagination</t>
  </si>
  <si>
    <t>big5_self_efficacy</t>
  </si>
  <si>
    <t>Self-efficacy</t>
  </si>
  <si>
    <t>NOCAPPRO</t>
  </si>
  <si>
    <t>나는 인생에서 부딪히는 거의 모든 문제들을 다룰 능력이 없는 것 같다</t>
  </si>
  <si>
    <t>UNEASABL</t>
  </si>
  <si>
    <t>Mobility</t>
  </si>
  <si>
    <t>STAIRS</t>
  </si>
  <si>
    <t>건강상태에 의한 일상생활의 제약2: 여러 개의 계단 오르기</t>
  </si>
  <si>
    <t>DISABIL2</t>
  </si>
  <si>
    <t>센서스 활동제약이 기본 출처. KGSS는 검증용</t>
  </si>
  <si>
    <t>Disability status</t>
  </si>
  <si>
    <t>DISABIL7</t>
  </si>
  <si>
    <t>보유 장애7: 기타(구체적으로: )</t>
  </si>
  <si>
    <t>DISABIL1, DISABIL2, DISABIL3, DISABIL4, DISABIL5</t>
  </si>
  <si>
    <t>Hearing</t>
  </si>
  <si>
    <t>DISABIL5</t>
  </si>
  <si>
    <t>보유 장애5: 청각장애</t>
  </si>
  <si>
    <t>Vision</t>
  </si>
  <si>
    <t>DISABIL4</t>
  </si>
  <si>
    <t>보유 장애4: 시각장애</t>
  </si>
  <si>
    <t>Trust level</t>
  </si>
  <si>
    <t>RELIABLE</t>
  </si>
  <si>
    <t>사회에 대한 신뢰</t>
  </si>
  <si>
    <t>2004,2005,2006,2007,2008,2009,2011,2012,2013,2014,2018,2021,2023,2025</t>
  </si>
  <si>
    <t>CANTRUST, TRUST5, TRUST10S, TRUST, TRUST1</t>
  </si>
  <si>
    <t>주의: MatrAIx 렌더러가 상태(state) 속성으로 분류해 프로필에서 제외. 일반 신뢰는 big5_trust 쪽이 적합</t>
  </si>
  <si>
    <t>lifex_financial_trajectory</t>
  </si>
  <si>
    <t>Financial trajectory</t>
  </si>
  <si>
    <t>부모세대 대비 생활수준 변화</t>
  </si>
  <si>
    <t>2003,2004,2005,2006,2010,2011,2012,2014,2021,2023,2025</t>
  </si>
  <si>
    <t>lstyle_work_schedule</t>
  </si>
  <si>
    <t>Work schedule</t>
  </si>
  <si>
    <t>WGPTFL</t>
  </si>
  <si>
    <t>응답자 (피고용시) 전일제, 시간제 구분</t>
  </si>
  <si>
    <t>mft_sanctity_degradation</t>
  </si>
  <si>
    <t>Moral Foundation Sanctity/Degradation</t>
  </si>
  <si>
    <t>SEXATT2</t>
  </si>
  <si>
    <t>성관계에 대한 태도2: 혼외성교</t>
  </si>
  <si>
    <t>2008,2013,2014,2018,2021,2023,2025</t>
  </si>
  <si>
    <t>Political engagement</t>
  </si>
  <si>
    <t>topic_activism</t>
  </si>
  <si>
    <t>Interest: Activism</t>
  </si>
  <si>
    <t>topic_astrology</t>
  </si>
  <si>
    <t>Interest: Astrology</t>
  </si>
  <si>
    <t>미신에 대한 의견5: 사주가 인생에 영향</t>
  </si>
  <si>
    <t>2018,2021,2023,2025</t>
  </si>
  <si>
    <t>lstyle_social_battery</t>
  </si>
  <si>
    <t>Social battery</t>
  </si>
  <si>
    <t>lstyle_tidiness</t>
  </si>
  <si>
    <t>Tidiness</t>
  </si>
  <si>
    <t>HASTY</t>
  </si>
  <si>
    <t>성격특성8: 정리정돈 못함 / 덤벙댐</t>
  </si>
  <si>
    <t>lifex_entrepreneurship_history</t>
  </si>
  <si>
    <t>Entrepreneurship history</t>
  </si>
  <si>
    <t>SFSTAT</t>
  </si>
  <si>
    <t>응답자 (자영업시) 자영 형태</t>
  </si>
  <si>
    <t>lstyle_screen_time</t>
  </si>
  <si>
    <t>Daily screen time</t>
  </si>
  <si>
    <t>INTRESTM</t>
  </si>
  <si>
    <t>응답자 하루평균 인터넷 사용시간: 시간</t>
  </si>
  <si>
    <t>mft_care_harm</t>
  </si>
  <si>
    <t>Moral Foundation Care/Harm</t>
  </si>
  <si>
    <t>mft_loyalty_betrayal</t>
  </si>
  <si>
    <t>Moral Foundation Loyalty/Betrayal</t>
  </si>
  <si>
    <t>IFWRONG</t>
  </si>
  <si>
    <t>국가자긍심5: 국민은 자기 나라가 잘못 되더라도 자기 나라를 지지해야 한다</t>
  </si>
  <si>
    <t>lifex_childhood_environment</t>
  </si>
  <si>
    <t>Childhood environment</t>
  </si>
  <si>
    <t>FAMILY16</t>
  </si>
  <si>
    <t>부모 동거 여부: 16살</t>
  </si>
  <si>
    <t>2021,2023,2025</t>
  </si>
  <si>
    <t>val_order_structure</t>
  </si>
  <si>
    <t>Value: Order &amp; structure</t>
  </si>
  <si>
    <t>AUTHORT4</t>
  </si>
  <si>
    <t>우리나라에 필요한 것은 인권보장이 아니라 법질서</t>
  </si>
  <si>
    <t>2016,2023,2025</t>
  </si>
  <si>
    <t>trait_perseverance</t>
  </si>
  <si>
    <t>Character: Perseverance</t>
  </si>
  <si>
    <t>WKNORSLT</t>
  </si>
  <si>
    <t>짧은 시간에 결과가 나타나지 않아도 열심히 일</t>
  </si>
  <si>
    <t>topic_social_media</t>
  </si>
  <si>
    <t>Interest: Social media</t>
  </si>
  <si>
    <t>topic_entrepreneurship</t>
  </si>
  <si>
    <t>Interest: Entrepreneurship</t>
  </si>
  <si>
    <t>EMPSELF</t>
  </si>
  <si>
    <t>선호하는 일자리1: 임금근로와 자영업</t>
  </si>
  <si>
    <t>2003,2005</t>
  </si>
  <si>
    <t>health_caregiver_status</t>
  </si>
  <si>
    <t>Caregiver status</t>
  </si>
  <si>
    <t>NEEDCARE</t>
  </si>
  <si>
    <t>가족들 가운데 보살핌이 필요한 사람</t>
  </si>
  <si>
    <t>topic_sustainability</t>
  </si>
  <si>
    <t>Interest: Sustainability</t>
  </si>
  <si>
    <t>RECYCLE</t>
  </si>
  <si>
    <t>환경보호를 위한 노력1: 유리, 깡통, 플라스틱, 신문 등을 재활용하기 위해 분리 배출하는 특별한 노력</t>
  </si>
  <si>
    <t>lifex_loss_experience</t>
  </si>
  <si>
    <t>Experience of loss</t>
  </si>
  <si>
    <t>RPAALI</t>
  </si>
  <si>
    <t>부친 생존여부</t>
  </si>
  <si>
    <t>lifex_cultural_exposure</t>
  </si>
  <si>
    <t>Cross-cultural exposure</t>
  </si>
  <si>
    <t>ACQFRN1</t>
  </si>
  <si>
    <t>외국 거주 친척/친구/지인 존재 여부</t>
  </si>
  <si>
    <t>fam_political_science</t>
  </si>
  <si>
    <t>Familiarity: Political science</t>
  </si>
  <si>
    <t>POLPAR02</t>
  </si>
  <si>
    <t>참여활동에 대한 의견2: 정치와 국정운영에 대한 이해 어려움 정도</t>
  </si>
  <si>
    <t>val_community</t>
  </si>
  <si>
    <t>Value: Community</t>
  </si>
  <si>
    <t>POLPAR04</t>
  </si>
  <si>
    <t>참여활동에 대한 의견4: 사회에 기여하고 싶은 의향</t>
  </si>
  <si>
    <t>lstyle_hobby_intensity</t>
  </si>
  <si>
    <t>Hobby intensity</t>
  </si>
  <si>
    <t>MEMB7</t>
  </si>
  <si>
    <t>조직/모임 가입 및 참여정도7: 여가모임</t>
  </si>
  <si>
    <t>lstyle_news_freq</t>
  </si>
  <si>
    <t>News consumption</t>
  </si>
  <si>
    <t>MEDIAPOL</t>
  </si>
  <si>
    <t>정치 뉴스나 정보를 얻기 위해 대중매체를 이용하는 빈도</t>
  </si>
  <si>
    <t>2014,2023</t>
  </si>
  <si>
    <t>lifex_adversity_level</t>
  </si>
  <si>
    <t>Adversity faced</t>
  </si>
  <si>
    <t>DISCRM2</t>
  </si>
  <si>
    <t>차별-침해 경험2: 학력으로 인한 차별</t>
  </si>
  <si>
    <t>2011,2018</t>
  </si>
  <si>
    <t>topic_tv_series</t>
  </si>
  <si>
    <t>Interest: TV series</t>
  </si>
  <si>
    <t>KRDRAM</t>
  </si>
  <si>
    <t>관람 및 시청빈도: 한국 TV 드라마</t>
  </si>
  <si>
    <t>media_diet</t>
  </si>
  <si>
    <t>Media diet</t>
  </si>
  <si>
    <t>INTLNEW1</t>
  </si>
  <si>
    <t>국제뉴스를 접하는 수단1: 신문</t>
  </si>
  <si>
    <t>lifex_languages_lifetime</t>
  </si>
  <si>
    <t>Languages learned over life</t>
  </si>
  <si>
    <t>ENGPROF1</t>
  </si>
  <si>
    <t>영어능력에 대한 주관적 평가1: 영자신문 기사 읽기</t>
  </si>
  <si>
    <t>lifex_hometown_tie</t>
  </si>
  <si>
    <t>Tie to hometown</t>
  </si>
  <si>
    <t>PRDTOWN</t>
  </si>
  <si>
    <t>내집단 편향2: 고향 사람이 사회에서 중요한 역할을 한다면 자부심을 느낄 것</t>
  </si>
  <si>
    <t>pref_stability_vs_change</t>
  </si>
  <si>
    <t>Stability vs change</t>
  </si>
  <si>
    <t>cult_china</t>
  </si>
  <si>
    <t>Culture: China</t>
  </si>
  <si>
    <t>CNFILM</t>
  </si>
  <si>
    <t>관람 및 시청빈도: 중국 영화</t>
  </si>
  <si>
    <t>cult_japan</t>
  </si>
  <si>
    <t>Culture: Japan</t>
  </si>
  <si>
    <t>trait_spirituality</t>
  </si>
  <si>
    <t>Character: Spirituality</t>
  </si>
  <si>
    <t>SPIRIT4</t>
  </si>
  <si>
    <t>종교관4: 인생에는 목적이 없음</t>
  </si>
  <si>
    <t>sdt_need_relatedness</t>
  </si>
  <si>
    <t>SDT Relatedness Need</t>
  </si>
  <si>
    <t>SOCNET10</t>
  </si>
  <si>
    <t>친구·친척·지인 관계에 대한 만족</t>
  </si>
  <si>
    <t>accessibility_needs</t>
  </si>
  <si>
    <t>Accessibility needs</t>
  </si>
  <si>
    <t>DISABIL1</t>
  </si>
  <si>
    <t>보유 장애1: 해당 없음</t>
  </si>
  <si>
    <t>val_privacy</t>
  </si>
  <si>
    <t>Value: Privacy</t>
  </si>
  <si>
    <t>habit_phone_free_downtime</t>
  </si>
  <si>
    <t>Habit: Phone-free downtime</t>
  </si>
  <si>
    <t>REDINTER</t>
  </si>
  <si>
    <t>지난 1년간 인터넷 사용 시간을 줄이려고 한 빈도</t>
  </si>
  <si>
    <t>pref_city_vs_nature</t>
  </si>
  <si>
    <t>City vs nature</t>
  </si>
  <si>
    <t>RETURNFM</t>
  </si>
  <si>
    <t>귀농생활</t>
  </si>
  <si>
    <t>2018,2023</t>
  </si>
  <si>
    <t>val_career_success</t>
  </si>
  <si>
    <t>Value: Career success</t>
  </si>
  <si>
    <t>SUCCEMPM</t>
  </si>
  <si>
    <t>성공적인 직원의 이미지와 R이 가까운 정도</t>
  </si>
  <si>
    <t>2018,2025</t>
  </si>
  <si>
    <t>topic_sports</t>
  </si>
  <si>
    <t>Interest: Sports</t>
  </si>
  <si>
    <t>NEWSKIND</t>
  </si>
  <si>
    <t>가장 많이 보는 신문 지면 (2003년)</t>
  </si>
  <si>
    <t>2003,2008</t>
  </si>
  <si>
    <t>lifex_service_history</t>
  </si>
  <si>
    <t>Community / service history</t>
  </si>
  <si>
    <t>VASOCSV</t>
  </si>
  <si>
    <t>소속된 집단2: 사회봉사 클럽</t>
  </si>
  <si>
    <t>lifex_relationship_history</t>
  </si>
  <si>
    <t>Relationship history</t>
  </si>
  <si>
    <t>RFSTMR</t>
  </si>
  <si>
    <t>응답자 초혼 여부</t>
  </si>
  <si>
    <t>habit_goal_setting</t>
  </si>
  <si>
    <t>Habit: Goal setting</t>
  </si>
  <si>
    <t>HAVEPLAN</t>
  </si>
  <si>
    <t>나는 앞으로 성취하고 싶은 장래 계획이 있다</t>
  </si>
  <si>
    <t>2009</t>
  </si>
  <si>
    <t>trait_self_regulation</t>
  </si>
  <si>
    <t>Character: Self-regulation</t>
  </si>
  <si>
    <t>EMOTION</t>
  </si>
  <si>
    <t>감정 통제 어려움</t>
  </si>
  <si>
    <t>trait_generosity</t>
  </si>
  <si>
    <t>Character: Generosity</t>
  </si>
  <si>
    <t>val_integrity_honesty</t>
  </si>
  <si>
    <t>Value: Integrity &amp; honesty</t>
  </si>
  <si>
    <t>FRIEND1</t>
  </si>
  <si>
    <t>친구 사귈 때 중시하는 특성1: 정직</t>
  </si>
  <si>
    <t>musg_folk</t>
  </si>
  <si>
    <t>Music: Folk</t>
  </si>
  <si>
    <t>MUSIC5</t>
  </si>
  <si>
    <t>음악장르에 대한 호감도5: 한국전통음악</t>
  </si>
  <si>
    <t>musg_k_pop</t>
  </si>
  <si>
    <t>Music: K-pop</t>
  </si>
  <si>
    <t>topic_comics</t>
  </si>
  <si>
    <t>Interest: Comics</t>
  </si>
  <si>
    <t>ASSGRP11</t>
  </si>
  <si>
    <t>문화동호회 활동 참여 여부11: 만화</t>
  </si>
  <si>
    <t>topic_dance</t>
  </si>
  <si>
    <t>Interest: Dance</t>
  </si>
  <si>
    <t>ASSGRP03</t>
  </si>
  <si>
    <t>문화동호회 활동 참여 여부3: 발레, 무용</t>
  </si>
  <si>
    <t>topic_film</t>
  </si>
  <si>
    <t>Interest: Film</t>
  </si>
  <si>
    <t>ASSGRP09</t>
  </si>
  <si>
    <t>문화동호회 활동 참여 여부9: 영화, 애니메이션</t>
  </si>
  <si>
    <t>topic_history</t>
  </si>
  <si>
    <t>Interest: History</t>
  </si>
  <si>
    <t>ASSGRP13</t>
  </si>
  <si>
    <t>문화동호회 활동 참여 여부13: 박물관, 문화재</t>
  </si>
  <si>
    <t>topic_literature</t>
  </si>
  <si>
    <t>Interest: Literature</t>
  </si>
  <si>
    <t>ASSGRP10</t>
  </si>
  <si>
    <t>문화동호회 활동 참여 여부10: 독서(문학작품, 교양도서)</t>
  </si>
  <si>
    <t>topic_music</t>
  </si>
  <si>
    <t>Interest: Music</t>
  </si>
  <si>
    <t>ASSGRP08</t>
  </si>
  <si>
    <t>문화동호회 활동 참여 여부8: 대중음악(가수나 연주자의 팬클럽 포함)</t>
  </si>
  <si>
    <t>topic_photography</t>
  </si>
  <si>
    <t>Interest: Photography</t>
  </si>
  <si>
    <t>ASSGRP06</t>
  </si>
  <si>
    <t>문화동호회 활동 참여 여부6: 사진</t>
  </si>
  <si>
    <t>topic_theater</t>
  </si>
  <si>
    <t>Interest: Theater</t>
  </si>
  <si>
    <t>ASSGRP01</t>
  </si>
  <si>
    <t>문화동호회 활동 참여 여부1: 뮤지컬</t>
  </si>
  <si>
    <t>topic_visual_art</t>
  </si>
  <si>
    <t>Interest: Visual art</t>
  </si>
  <si>
    <t>ASSGRP05</t>
  </si>
  <si>
    <t>문화동호회 활동 참여 여부5: 미술(회화, 공예, 조각, 서예 등)</t>
  </si>
  <si>
    <t>topic_live_concerts</t>
  </si>
  <si>
    <t>Interest: Live concerts</t>
  </si>
  <si>
    <t>CULACT08</t>
  </si>
  <si>
    <t>지난해 문화활동 빈도8: 대중음악 콘서트 관람</t>
  </si>
  <si>
    <t>pref_text_vs_call</t>
  </si>
  <si>
    <t>Texting vs calling</t>
  </si>
  <si>
    <t>LTAC18</t>
  </si>
  <si>
    <t>여가활동 빈도18: 전화로 이야기 하기</t>
  </si>
  <si>
    <t>topic_board_games</t>
  </si>
  <si>
    <t>Interest: Board games</t>
  </si>
  <si>
    <t>LTAC08</t>
  </si>
  <si>
    <t>여가활동 빈도8: 카드나 보드게임하기</t>
  </si>
  <si>
    <t>hob_knitting</t>
  </si>
  <si>
    <t>Hobby: Knitting</t>
  </si>
  <si>
    <t>LTAC12</t>
  </si>
  <si>
    <t>여가활동 빈도12: 수공예 하기(바느질, 목공예 등)</t>
  </si>
  <si>
    <t>hob_woodworking</t>
  </si>
  <si>
    <t>Hobby: Woodworking</t>
  </si>
  <si>
    <t>attachment_avoidance</t>
  </si>
  <si>
    <t>Attachment Avoidance</t>
  </si>
  <si>
    <t>OTHREL3</t>
  </si>
  <si>
    <t>대인관계3: 남들과 친밀한 인간관계를 유지하는 것이 어렵고 힘들다</t>
  </si>
  <si>
    <t>interpersonal_communion_warmth</t>
  </si>
  <si>
    <t>Interpersonal Communion/Warmth</t>
  </si>
  <si>
    <t>OTHREL1</t>
  </si>
  <si>
    <t>대인관계1: 가족, 친구들과 친밀한 대화 나누는 것을 즐긴다</t>
  </si>
  <si>
    <t>lstyle_investment_style</t>
  </si>
  <si>
    <t>Investment style</t>
  </si>
  <si>
    <t>STOCK</t>
  </si>
  <si>
    <t>주식 보유 여부</t>
  </si>
  <si>
    <t>pref_big_group_vs_one_on_one</t>
  </si>
  <si>
    <t>Big group vs one-on-one</t>
  </si>
  <si>
    <t>DINE</t>
  </si>
  <si>
    <t>친지 이외 세명 이상의 다른 사람들과 밖에서 식사 또는 술을 하는 빈도</t>
  </si>
  <si>
    <t>musg_hip_hop</t>
  </si>
  <si>
    <t>Music: Hip-hop</t>
  </si>
  <si>
    <t>MUSICFAV</t>
  </si>
  <si>
    <t>가장 선호하는 음악</t>
  </si>
  <si>
    <t>musg_jazz</t>
  </si>
  <si>
    <t>Music: Jazz</t>
  </si>
  <si>
    <t>musg_blues</t>
  </si>
  <si>
    <t>Music: Blues</t>
  </si>
  <si>
    <t>MUSIC3</t>
  </si>
  <si>
    <t>음악장르에 대한 호감도3: 재즈/블루스</t>
  </si>
  <si>
    <t>time_pressure</t>
  </si>
  <si>
    <t>Time pressure</t>
  </si>
  <si>
    <t>NOTIME1M</t>
  </si>
  <si>
    <t>지난 한 달간 삶에 여유가 없었던 경험</t>
  </si>
  <si>
    <t>topic_volunteering</t>
  </si>
  <si>
    <t>Interest: Volunteering</t>
  </si>
  <si>
    <t>pref_early_vs_late</t>
  </si>
  <si>
    <t>Early vs late adopter</t>
  </si>
  <si>
    <t>DIGDAILY</t>
  </si>
  <si>
    <t>디지털 어려움1: 디지털 기기 이용</t>
  </si>
  <si>
    <t>interpersonal_agency_dominance</t>
  </si>
  <si>
    <t>Interpersonal Agency/Dominance</t>
  </si>
  <si>
    <t>trait_kindness</t>
  </si>
  <si>
    <t>Character: Kindness</t>
  </si>
  <si>
    <t>COMPSOTH</t>
  </si>
  <si>
    <t>성격특성14: 나는 다른 사람들을 배려하며 행동한다</t>
  </si>
  <si>
    <t>trait_leadership</t>
  </si>
  <si>
    <t>Character: Leadership</t>
  </si>
  <si>
    <t>val_justice_fairness</t>
  </si>
  <si>
    <t>Value: Justice &amp; fairness</t>
  </si>
  <si>
    <t>CNSPUNFR</t>
  </si>
  <si>
    <t>윤리적 소비행동3: 불공정한 행위를 한 기업의 제품은 구매하지 않는다</t>
  </si>
  <si>
    <t>mft_liberty_oppression</t>
  </si>
  <si>
    <t>Moral Foundation Liberty/Oppression</t>
  </si>
  <si>
    <t>trait_humility</t>
  </si>
  <si>
    <t>Character: Humility</t>
  </si>
  <si>
    <t>safety_sensitivity</t>
  </si>
  <si>
    <t>Safety sensitivity</t>
  </si>
  <si>
    <t>COVIDMAS</t>
  </si>
  <si>
    <t>마스크 착용</t>
  </si>
  <si>
    <t>val_personal_freedom</t>
  </si>
  <si>
    <t>Value: Personal freedom</t>
  </si>
  <si>
    <t>COVIDFRE</t>
  </si>
  <si>
    <t>코로나 시기 개인의 자유와 공공의 안전</t>
  </si>
  <si>
    <t>sdt_need_autonomy</t>
  </si>
  <si>
    <t>SDT Autonomy Need</t>
  </si>
  <si>
    <t>trait_competitiveness</t>
  </si>
  <si>
    <t>Character: Competitiveness</t>
  </si>
  <si>
    <t>trait_loyalty</t>
  </si>
  <si>
    <t>Character: Loyalty</t>
  </si>
  <si>
    <t>trait_open_mindedness</t>
  </si>
  <si>
    <t>Character: Open-mindedness</t>
  </si>
  <si>
    <t>pref_novelty_vs_familiarity</t>
  </si>
  <si>
    <t>Novelty vs familiarity</t>
  </si>
  <si>
    <t>슈와츠 가치 척도 6: 삶에서 다양한 것들을 경험하는 것</t>
  </si>
  <si>
    <t>val_recognition</t>
  </si>
  <si>
    <t>Value: Recognition</t>
  </si>
  <si>
    <t>슈와츠 가치 척도 17: 사람들에게 존경받는 것</t>
  </si>
  <si>
    <t>val_social_status</t>
  </si>
  <si>
    <t>Value: Social status</t>
  </si>
  <si>
    <t>trait_creativity</t>
  </si>
  <si>
    <t>Character: Creativity</t>
  </si>
  <si>
    <t>pref_indoor_vs_outdoor</t>
  </si>
  <si>
    <t>Indoor vs outdoor</t>
  </si>
  <si>
    <t>NATUREFR</t>
  </si>
  <si>
    <t>지난 1년간 야외 여가활동 빈도</t>
  </si>
  <si>
    <t>lstyle_diet_type</t>
  </si>
  <si>
    <t>Diet type</t>
  </si>
  <si>
    <t>BEEFFOOD</t>
  </si>
  <si>
    <t>육류 또는 육가공식품을 먹는 빈도</t>
  </si>
  <si>
    <t>topic_fitness</t>
  </si>
  <si>
    <t>Interest: Fitness</t>
  </si>
  <si>
    <t>LTAC10PL</t>
  </si>
  <si>
    <t>여가활동의 즐거움3: 운동하기</t>
  </si>
  <si>
    <t>cult_united_states</t>
  </si>
  <si>
    <t>Culture: United States</t>
  </si>
  <si>
    <t>MOVIEUSA</t>
  </si>
  <si>
    <t>외국 영화 관람빈도: 미국</t>
  </si>
  <si>
    <t>trait_teamwork</t>
  </si>
  <si>
    <t>Character: Teamwork</t>
  </si>
  <si>
    <t>RFULF5</t>
  </si>
  <si>
    <t>회사에 대한 직원의 의무 이행5: 동료와 업무공유, 전수</t>
  </si>
  <si>
    <t>2005,2009</t>
  </si>
  <si>
    <t>lstyle_travel_freq</t>
  </si>
  <si>
    <t>Travel frequency</t>
  </si>
  <si>
    <t>AIRTRAVE</t>
  </si>
  <si>
    <t>지난 1년간 항공 여행 횟수</t>
  </si>
  <si>
    <t>lstyle_banking_style</t>
  </si>
  <si>
    <t>Banking style</t>
  </si>
  <si>
    <t>USESHOPP</t>
  </si>
  <si>
    <t>인터넷 활용 목적별 사용 빈도6: 온라인 쇼핑, 고지서 납부, 기타 금융 거래</t>
  </si>
  <si>
    <t>lstyle_shopping_style</t>
  </si>
  <si>
    <t>Shopping style</t>
  </si>
  <si>
    <t>lstyle_streaming_hours</t>
  </si>
  <si>
    <t>Streaming hours/week</t>
  </si>
  <si>
    <t>USEDOWNL</t>
  </si>
  <si>
    <t>인터넷 활용 목적별 사용 빈도5: 음악 저장 및 감상, 영상·영화 시청</t>
  </si>
  <si>
    <t>topic_gaming</t>
  </si>
  <si>
    <t>Interest: Gaming</t>
  </si>
  <si>
    <t>topic_home_improvement</t>
  </si>
  <si>
    <t>Interest: Home improvement</t>
  </si>
  <si>
    <t>HOUWK4</t>
  </si>
  <si>
    <t>집안일을 하는 빈도4: 수리</t>
  </si>
  <si>
    <t>economic_motivation</t>
  </si>
  <si>
    <t>Economic motivation</t>
  </si>
  <si>
    <t>GOODPAYW</t>
  </si>
  <si>
    <t>(괜찮은 수준의 소득이 있다고 가정) 일을 하기를 원하는지 여부</t>
  </si>
  <si>
    <t>Mental health</t>
  </si>
  <si>
    <t>2006,2009,2016,2021,2023,2025</t>
  </si>
  <si>
    <t>big5_liberalism</t>
  </si>
  <si>
    <t>Liberalism</t>
  </si>
  <si>
    <t>big5_cheerfulness</t>
  </si>
  <si>
    <t>Cheerfulness</t>
  </si>
  <si>
    <t>2009,2010,2016,2021,2023,2025</t>
  </si>
  <si>
    <t>bfi2_facet_responsibility</t>
  </si>
  <si>
    <t>BFI-2 Responsibility</t>
  </si>
  <si>
    <t>bfi2_facet_organization</t>
  </si>
  <si>
    <t>BFI-2 Organization</t>
  </si>
  <si>
    <t>bfi2_facet_compassion</t>
  </si>
  <si>
    <t>BFI-2 Compassion</t>
  </si>
  <si>
    <t>big5_gregariousness</t>
  </si>
  <si>
    <t>Gregariousness</t>
  </si>
  <si>
    <t>하루 평균 접촉 사람 수(가족, 친척 제외)</t>
  </si>
  <si>
    <t>2012,2016,2023</t>
  </si>
  <si>
    <t>big5_self_discipline</t>
  </si>
  <si>
    <t>Self-discipline</t>
  </si>
  <si>
    <t>WKNOLIKE</t>
  </si>
  <si>
    <t>좋아하지 않는 일이라도 최선</t>
  </si>
  <si>
    <t>big5_dutifulness</t>
  </si>
  <si>
    <t>Dutifulness</t>
  </si>
  <si>
    <t>WKNOREST</t>
  </si>
  <si>
    <t>쉴 수 있는 정당한 사유가 있어도 열심히 일</t>
  </si>
  <si>
    <t>bfi2_facet_depression</t>
  </si>
  <si>
    <t>BFI-2 Depression</t>
  </si>
  <si>
    <t>FEELDPRS</t>
  </si>
  <si>
    <t>지난 한 달간 정서 경험3: 우울감</t>
  </si>
  <si>
    <t>big5_depression</t>
  </si>
  <si>
    <t>Depression</t>
  </si>
  <si>
    <t>big5_cooperation</t>
  </si>
  <si>
    <t>Cooperation</t>
  </si>
  <si>
    <t>NOCOMPLNT</t>
  </si>
  <si>
    <t>다수에 동조2: 원만하게 지내기 위해 사람들에게 불평을 드러내지 않는 것</t>
  </si>
  <si>
    <t>big5_vulnerability</t>
  </si>
  <si>
    <t>Vulnerability</t>
  </si>
  <si>
    <t>CESD8</t>
  </si>
  <si>
    <t>지난 한 주간 감정 경험8: 무력감</t>
  </si>
  <si>
    <t>big5_immoderation</t>
  </si>
  <si>
    <t>Immoderation</t>
  </si>
  <si>
    <t>TELLGMBL</t>
  </si>
  <si>
    <t>과도한 행동3: 도박</t>
  </si>
  <si>
    <t>bfi2_facet_emotional_volatility</t>
  </si>
  <si>
    <t>BFI-2 Emotional Volatility</t>
  </si>
  <si>
    <t>ANGER1W</t>
  </si>
  <si>
    <t>지난 한 주간 분노를 조절할 수 없었던 경험</t>
  </si>
  <si>
    <t>big5_anger</t>
  </si>
  <si>
    <t>Anger</t>
  </si>
  <si>
    <t>big5_anxiety</t>
  </si>
  <si>
    <t>Anxiety</t>
  </si>
  <si>
    <t>CESD10</t>
  </si>
  <si>
    <t>지난 한 주간 감정 경험10: 불안감</t>
  </si>
  <si>
    <t>big5_altruism</t>
  </si>
  <si>
    <t>Altruism</t>
  </si>
  <si>
    <t>SOCNET6</t>
  </si>
  <si>
    <t>지인들에 대한 도움과 지원 제공 정도</t>
  </si>
  <si>
    <t>big5_excitement_seeking</t>
  </si>
  <si>
    <t>Excitement-seeking</t>
  </si>
  <si>
    <t>big5_modesty</t>
  </si>
  <si>
    <t>Modesty</t>
  </si>
  <si>
    <t>big5_achievement_striving</t>
  </si>
  <si>
    <t>Achievement-striving</t>
  </si>
  <si>
    <t>RFULF3</t>
  </si>
  <si>
    <t>회사에 대한 직원의 의무 이행3: 자발적 업무능력증진</t>
  </si>
  <si>
    <t>big5_friendliness</t>
  </si>
  <si>
    <t>Friendliness</t>
  </si>
  <si>
    <t>DINEFRN</t>
  </si>
  <si>
    <t>친지外 모임에서 새로운 친구를 만나는 정도</t>
  </si>
  <si>
    <t>big5_morality</t>
  </si>
  <si>
    <t>Morality</t>
  </si>
  <si>
    <t>SOCDESI2</t>
  </si>
  <si>
    <t>타인을 이용한 경험</t>
  </si>
  <si>
    <t>KGSS 문항–MatrAIx 속성 전체 후보</t>
  </si>
  <si>
    <t>문항 2,804개를 의미에 따라 대응시킨 전체 후보이다. 부분 대응은 근사이므로 사용 전 검토가 필요하다.</t>
  </si>
  <si>
    <t>강도</t>
  </si>
  <si>
    <t>대응 근거</t>
  </si>
  <si>
    <t>장애 보유 시 접근성 필요로 가정</t>
  </si>
  <si>
    <t>친밀한 관계 유지 어려움으로 회피 애착 근사</t>
  </si>
  <si>
    <t>OTHREL7</t>
  </si>
  <si>
    <t>대인관계7: 다른 사람들과 다정하고 신뢰깊은 관계를 별로 경험하지 못했다</t>
  </si>
  <si>
    <t>다정, 신뢰 관계 경험 부족으로 회피 애착 근사</t>
  </si>
  <si>
    <t>TIPI 친화성 문항</t>
  </si>
  <si>
    <t>CRITICAL</t>
  </si>
  <si>
    <t>성격특성2: 비판적 / 논쟁을 좋아함</t>
  </si>
  <si>
    <t>TIPI 친화성 역문항</t>
  </si>
  <si>
    <t>NEGAFF1</t>
  </si>
  <si>
    <t>자기 평가7: 다른사람의 흠을 잘 잡음</t>
  </si>
  <si>
    <t>BFI-10 흠잡기 역코딩</t>
  </si>
  <si>
    <t>BFI-10 친화성 단일문항</t>
  </si>
  <si>
    <t>배려 행동→우호성</t>
  </si>
  <si>
    <t>TIPI 성실성 문항</t>
  </si>
  <si>
    <t>TIPI 성실성 역문항</t>
  </si>
  <si>
    <t>NEGAFF2</t>
  </si>
  <si>
    <t>자기 평가8: 게으름</t>
  </si>
  <si>
    <t>BFI-10 게으름 역코딩</t>
  </si>
  <si>
    <t>POSAFF3</t>
  </si>
  <si>
    <t>자기 평가3: 일을 철저히 함</t>
  </si>
  <si>
    <t>BFI-10 철저함 문항</t>
  </si>
  <si>
    <t>TIPI 외향성 문항; INTROVRT와 평균</t>
  </si>
  <si>
    <t>INTROVRT</t>
  </si>
  <si>
    <t>성격특성6: 내성적 / 조용함</t>
  </si>
  <si>
    <t>TIPI 외향성 역문항</t>
  </si>
  <si>
    <t>BFI-10 외향, 사교 문항</t>
  </si>
  <si>
    <t>POSAFF1</t>
  </si>
  <si>
    <t>자기 평가1: 과묵함</t>
  </si>
  <si>
    <t>BFI-10 과묵함 역코딩</t>
  </si>
  <si>
    <t>TIPI 정서안정성 문항(역코딩)</t>
  </si>
  <si>
    <t>EMOTIONL</t>
  </si>
  <si>
    <t>성격특성4: 근심 많음 / 쉽게 흥분</t>
  </si>
  <si>
    <t>TIPI 정서불안정성 문항</t>
  </si>
  <si>
    <t>BFI-10 신경 예민 문항</t>
  </si>
  <si>
    <t>POSAFF4</t>
  </si>
  <si>
    <t>자기 평가4: 스트레스 해소 잘 함</t>
  </si>
  <si>
    <t>BFI-10 스트레스 대처 역코딩</t>
  </si>
  <si>
    <t>TIPI 개방성 역문항</t>
  </si>
  <si>
    <t>OPEN</t>
  </si>
  <si>
    <t>성격특성5: 개방적 / 복잡다단</t>
  </si>
  <si>
    <t>TIPI 개방성 문항</t>
  </si>
  <si>
    <t>BFI-10 예술 관심 없음 역코딩</t>
  </si>
  <si>
    <t>BFI-10 상상력 문항</t>
  </si>
  <si>
    <t>예술적 관심 역코딩</t>
  </si>
  <si>
    <t>신경이 예민함=불안</t>
  </si>
  <si>
    <t>근심 많음으로 불안 하위요인 근사</t>
  </si>
  <si>
    <t>지난 한 주 불안감</t>
  </si>
  <si>
    <t>WORRY</t>
  </si>
  <si>
    <t>걱정스러움</t>
  </si>
  <si>
    <t>최근 걱정 빈도로 불안 하위요인 근사</t>
  </si>
  <si>
    <t>동정심, 다정함 단일문항으로 연민 하위요인 근사</t>
  </si>
  <si>
    <t>동정, 걱정으로 연민 하위요인 근사</t>
  </si>
  <si>
    <t>OTHNEEDS</t>
  </si>
  <si>
    <t>성격특성13: 나는 다른 사람들의 필요에 주의를 기울인다</t>
  </si>
  <si>
    <t>타인 필요에 주의→연민</t>
  </si>
  <si>
    <t>상상력 풍부함</t>
  </si>
  <si>
    <t>FEELDOWN</t>
  </si>
  <si>
    <t>가라앉은 느낌, 우울감 또는 절망감</t>
  </si>
  <si>
    <t>우울, 절망감 빈도로 우울 하위요인 근사</t>
  </si>
  <si>
    <t>상태 우울→특성 우울 가정</t>
  </si>
  <si>
    <t>CESD1</t>
  </si>
  <si>
    <t>지난 한 주간 감정 경험1: 우울감</t>
  </si>
  <si>
    <t>SAD</t>
  </si>
  <si>
    <t>슬픔</t>
  </si>
  <si>
    <t>최근 슬픔 빈도로 우울 하위요인 근사</t>
  </si>
  <si>
    <t>감정기복 적음 역코딩으로 정서 변동성 근사</t>
  </si>
  <si>
    <t>감정 통제 어려움으로 정서 변동성 근사</t>
  </si>
  <si>
    <t>SLFCTRL1</t>
  </si>
  <si>
    <t>정서조절의 어려움1: 나는 감정에 압도되고 감정을 통제하기 힘들다고 여긴다</t>
  </si>
  <si>
    <t>감정에 압도됨으로 정서 변동성 근사</t>
  </si>
  <si>
    <t>분노조절 실패를 정서 변동성으로</t>
  </si>
  <si>
    <t>정리정돈 못함 역코딩으로 조직성 근사</t>
  </si>
  <si>
    <t>신뢰할 수 있음으로 책임감 근사</t>
  </si>
  <si>
    <t>외향적이고 사교적</t>
  </si>
  <si>
    <t>SOCNET9</t>
  </si>
  <si>
    <t>또래 대비 사교활동 참여 정도</t>
  </si>
  <si>
    <t>또래 대비 사교활동 참여</t>
  </si>
  <si>
    <t>BFI-10 신뢰 문항</t>
  </si>
  <si>
    <t>일반 신뢰를 BFI-2 신뢰 측면으로</t>
  </si>
  <si>
    <t>일반화된 대인 신뢰로 신뢰 하위요인 근사</t>
  </si>
  <si>
    <t>TRUST2</t>
  </si>
  <si>
    <t>대인신뢰2: 타인은 나를 이용하려 들 것</t>
  </si>
  <si>
    <t>2006</t>
  </si>
  <si>
    <t>타인 의도 의심 역코딩</t>
  </si>
  <si>
    <t>TRUST10S</t>
  </si>
  <si>
    <t>사람들에 대한 신뢰 (10점 척도)</t>
  </si>
  <si>
    <t>일반신뢰→BFI-2 신뢰 facet 가정</t>
  </si>
  <si>
    <t>자발적 능력개발 자기평가(직장 한정)</t>
  </si>
  <si>
    <t>HOPE2</t>
  </si>
  <si>
    <t>삶에 대한 태도2: 지금 원기 왕성하게 목표 추구</t>
  </si>
  <si>
    <t>원기왕성한 목표 추구로 성취 노력 근사</t>
  </si>
  <si>
    <t>ORGAN</t>
  </si>
  <si>
    <t>장기 기증 의사</t>
  </si>
  <si>
    <t>2009,2016</t>
  </si>
  <si>
    <t>장기 기증 의사로 이타성 근사</t>
  </si>
  <si>
    <t>HELPHWRK</t>
  </si>
  <si>
    <t>집안일, 장보기 도와준 빈도</t>
  </si>
  <si>
    <t>2004</t>
  </si>
  <si>
    <t>집안일 도와준 빈도로 이타 행동 근사</t>
  </si>
  <si>
    <t>TALKEDTO</t>
  </si>
  <si>
    <t>우울한 사람과 대화해 준 빈도</t>
  </si>
  <si>
    <t>우울한 사람과 대화해 준 빈도로 이타 행동 근사</t>
  </si>
  <si>
    <t>지인에게 도움, 지원 제공 정도</t>
  </si>
  <si>
    <t>SLFCTRL2</t>
  </si>
  <si>
    <t>정서조절의 어려움2: 화가 나거나 기분이 나쁘면 내 행동에 대한 통제력을 잃어버린다</t>
  </si>
  <si>
    <t>화날 때 통제력 상실로 분노 성향 근사</t>
  </si>
  <si>
    <t>최근 1주 분노조절 실패 경험(상태 측정)</t>
  </si>
  <si>
    <t>신경 예민함을 불안으로</t>
  </si>
  <si>
    <t>최근 걱정 빈도로 불안 근사</t>
  </si>
  <si>
    <t>LTAC05</t>
  </si>
  <si>
    <t>여가활동 빈도5: 문화행사 참가하기</t>
  </si>
  <si>
    <t>문화행사 참가 빈도</t>
  </si>
  <si>
    <t>행복감 수준으로 쾌활성 근사</t>
  </si>
  <si>
    <t>HAPPY</t>
  </si>
  <si>
    <t>2007,2008,2018</t>
  </si>
  <si>
    <t>행복감을 긍정정서 성향으로</t>
  </si>
  <si>
    <t>HAPINSS1</t>
  </si>
  <si>
    <t>전반적 행복감(7점 척도)</t>
  </si>
  <si>
    <t>2011,2012</t>
  </si>
  <si>
    <t>전반적 행복감→긍정정서 성향 가정</t>
  </si>
  <si>
    <t>CESD6</t>
  </si>
  <si>
    <t>지난 한 주간 감정 경험6: 즐거움</t>
  </si>
  <si>
    <t>지난 한 주 즐거움</t>
  </si>
  <si>
    <t>CESD4</t>
  </si>
  <si>
    <t>지난 한 주간 감정 경험4: 행복감</t>
  </si>
  <si>
    <t>지난 한 주 행복감</t>
  </si>
  <si>
    <t>ENJOY</t>
  </si>
  <si>
    <t>즐거움</t>
  </si>
  <si>
    <t>최근 즐거움 빈도로 쾌활성 근사</t>
  </si>
  <si>
    <t>갈등 회피 성향</t>
  </si>
  <si>
    <t>SOCDESI1</t>
  </si>
  <si>
    <t>타인을 헐뜯은 경험</t>
  </si>
  <si>
    <t>타인 험담 경험 역코딩, 협조성 낮음 지표</t>
  </si>
  <si>
    <t>우울, 절망감 빈도로 우울 성향 근사</t>
  </si>
  <si>
    <t>CESD2</t>
  </si>
  <si>
    <t>지난 한 주간 감정 경험2: 허무감</t>
  </si>
  <si>
    <t>지난 한 주 허무감</t>
  </si>
  <si>
    <t>CESD7</t>
  </si>
  <si>
    <t>지난 한 주간 감정 경험7: 슬픔</t>
  </si>
  <si>
    <t>지난 한 주 슬픔</t>
  </si>
  <si>
    <t>HOPELESS</t>
  </si>
  <si>
    <t>정서 상태1: 희망이 없어 보이고 상황이 더 나아지지 않는다고 생각</t>
  </si>
  <si>
    <t>무망감→우울 성향</t>
  </si>
  <si>
    <t>HLTPBM3</t>
  </si>
  <si>
    <t>건강문제3: 불행하고 우울하다고 느낌</t>
  </si>
  <si>
    <t>최근 슬픔 빈도로 우울 성향 근사</t>
  </si>
  <si>
    <t>쉴 사유 있어도 일함=의무감</t>
  </si>
  <si>
    <t>NOTABSNT</t>
  </si>
  <si>
    <t>학교생활1: 아프거나 정당한 이유가 있어도 매일 학교에 가려고 노력</t>
  </si>
  <si>
    <t>학창시절 결석 안 하려는 노력(회고)</t>
  </si>
  <si>
    <t>RFULF4</t>
  </si>
  <si>
    <t>회사에 대한 직원의 의무 이행4: 필요시 시간외근무</t>
  </si>
  <si>
    <t>필요시 시간외근무 이행=의무감(직장 한정)</t>
  </si>
  <si>
    <t>위험 즐김→자극추구</t>
  </si>
  <si>
    <t>모험 가치를 자극추구 성향으로</t>
  </si>
  <si>
    <t>모임에서 새 친구 사귐</t>
  </si>
  <si>
    <t>일 평균 접촉 인원→사교성 가정</t>
  </si>
  <si>
    <t>CONTACT3</t>
  </si>
  <si>
    <t>하루 평균 연락 또는 만나는 사람 수(가족, 친척 제외)</t>
  </si>
  <si>
    <t>사교성 자기평가</t>
  </si>
  <si>
    <t>NUMCNCT</t>
  </si>
  <si>
    <t>하루 평균 접촉 사람 수(동거인 포함)</t>
  </si>
  <si>
    <t>일평균 접촉 인원 많을수록 사교적 가정</t>
  </si>
  <si>
    <t>LTAC07</t>
  </si>
  <si>
    <t>여가활동 빈도7: 친구 만나기</t>
  </si>
  <si>
    <t>친구 만나기 빈도</t>
  </si>
  <si>
    <t>3인 이상 외식, 술자리 빈도</t>
  </si>
  <si>
    <t>CONTACT0</t>
  </si>
  <si>
    <t>2014</t>
  </si>
  <si>
    <t>LTAC07PL</t>
  </si>
  <si>
    <t>여가활동의 즐거움2: 친구 만나기</t>
  </si>
  <si>
    <t>친구 만남의 즐거움 정도</t>
  </si>
  <si>
    <t>SOCNET7</t>
  </si>
  <si>
    <t>주변 사람들과 사교적 만남 여부</t>
  </si>
  <si>
    <t>사교적 만남 빈도</t>
  </si>
  <si>
    <t>F2FNOFMF</t>
  </si>
  <si>
    <t>귀하는 평소 하루에 접촉한 가족 혹은 친척이 아닌 다른 사람(같이 살고 있는 사람들은 제외) 중 몇 명을 대</t>
  </si>
  <si>
    <t>일 평균 대면 인원→사교성 가정</t>
  </si>
  <si>
    <t>도박 과도 지적→절제 부족</t>
  </si>
  <si>
    <t>진보 자기규정으로 IPIP 자유주의 근사</t>
  </si>
  <si>
    <t>SEXATT1</t>
  </si>
  <si>
    <t>성관계에 대한 태도1: 혼전성교</t>
  </si>
  <si>
    <t>혼전성교 허용=사회적 자유주의</t>
  </si>
  <si>
    <t>성관계에 대한 태도3: 동성성교</t>
  </si>
  <si>
    <t>동성성교 허용=사회적 자유주의</t>
  </si>
  <si>
    <t>전통적 성역할 반대 역코딩</t>
  </si>
  <si>
    <t>ABORT2</t>
  </si>
  <si>
    <t>인공유산에 대한 태도2: 소득이 낮아 기를 능력이 없는 경우</t>
  </si>
  <si>
    <t>인공유산 허용=사회적 자유주의</t>
  </si>
  <si>
    <t>ABORT1</t>
  </si>
  <si>
    <t>인공유산에 대한 태도1: 태아에 심각한 이상이 있는 경우</t>
  </si>
  <si>
    <t>RELTRUTH</t>
  </si>
  <si>
    <t>종교와 진리에 대한 의견</t>
  </si>
  <si>
    <t>유일한 참종교 믿음 역코딩(IPIP 자유주의 문항 유사)</t>
  </si>
  <si>
    <t>겸손 가치 중요도를 겸손 성향으로</t>
  </si>
  <si>
    <t>타인 이용 경험 역코딩(IPIP 도덕성 문항과 유사)</t>
  </si>
  <si>
    <t>싫은 일도 최선=자기통제</t>
  </si>
  <si>
    <t>게으름 역코딩</t>
  </si>
  <si>
    <t>HWDOBEST</t>
  </si>
  <si>
    <t>학교생활2: 하기 싫은 학교 과제라도 능력을 보여주기 위해 노력</t>
  </si>
  <si>
    <t>싫은 과제도 노력(회고)</t>
  </si>
  <si>
    <t>문제 대처 능력 없음 역코딩</t>
  </si>
  <si>
    <t>나는 어떤 일을 할 수 있는 내 능력에 불안함을 느낄 때가 많다</t>
  </si>
  <si>
    <t>자기 능력 불안 역코딩</t>
  </si>
  <si>
    <t>LIFCNTRL</t>
  </si>
  <si>
    <t>나는 내 삶과 운명을 통제할 수 있다고 믿는다</t>
  </si>
  <si>
    <t>삶 통제 신념으로 자기효능감 근사</t>
  </si>
  <si>
    <t>HARDGOAL</t>
  </si>
  <si>
    <t>정서 상태2: 목표에 도달하는 것이 불가능하다고 생각</t>
  </si>
  <si>
    <t>목표 도달 불가 인식(역)</t>
  </si>
  <si>
    <t>CONFDNCE</t>
  </si>
  <si>
    <t>학교생활4: 학업 계획을 잘해낼 수 있을 것이라고 확신</t>
  </si>
  <si>
    <t>학업 계획 수행 확신(회고)</t>
  </si>
  <si>
    <t>HLTPBM4</t>
  </si>
  <si>
    <t>건강문제4: 자신감을 잃음</t>
  </si>
  <si>
    <t>자신감 상실 빈도(역코딩)</t>
  </si>
  <si>
    <t>INDPOWR</t>
  </si>
  <si>
    <t>자신의 삶을 변화시킬 수 있다고 느끼는 정도</t>
  </si>
  <si>
    <t>삶 변화 통제감</t>
  </si>
  <si>
    <t>SELFLIF5</t>
  </si>
  <si>
    <t>내가 잘하는 일이 많다고 느끼는지 여부</t>
  </si>
  <si>
    <t>잘하는 일 많다고 느낌</t>
  </si>
  <si>
    <t>HOPE4</t>
  </si>
  <si>
    <t>삶에 대한 태도4: 자신이 성공적이라고 생각</t>
  </si>
  <si>
    <t>스스로 성공적이라 인식으로 자기효능감 근사</t>
  </si>
  <si>
    <t>HOPE6</t>
  </si>
  <si>
    <t>삶에 대한 태도6: 스스로 정한 목표 이루어가고 있다</t>
  </si>
  <si>
    <t>목표 달성 중 인식으로 자기효능감 근사</t>
  </si>
  <si>
    <t>LIFEWILL</t>
  </si>
  <si>
    <t>인생에서 벌어지는 일들에서 선택의 자유: 마음먹은대로 할 수 없다 / 마음먹은 대로 할 수 있다</t>
  </si>
  <si>
    <t>삶의 선택 자유, 통제감으로 자기효능감 근사</t>
  </si>
  <si>
    <t>불행한 사람에 대한 동정심(IRI 공감적 관심)</t>
  </si>
  <si>
    <t>일반적 대인 신뢰</t>
  </si>
  <si>
    <t>TRUST5</t>
  </si>
  <si>
    <t>사람들에 대한 신뢰 (5점 척도)</t>
  </si>
  <si>
    <t>일반적 대인 신뢰 5점</t>
  </si>
  <si>
    <t>HELPFUL</t>
  </si>
  <si>
    <t>이타주의와 이기주의에 대한 평가</t>
  </si>
  <si>
    <t>2003,2004,2005,2006,2007,2008,2009,2011,2012,2013,2014,2016,2018,2021,2023,2025</t>
  </si>
  <si>
    <t>사람들이 남을 돕는다/자기만 챙긴다 인식으로 대인 신뢰 근사</t>
  </si>
  <si>
    <t>일반인의 공정성 평가1</t>
  </si>
  <si>
    <t>2003,2005,2007,2008,2009,2011,2012,2013,2014,2016,2018,2021,2023,2025</t>
  </si>
  <si>
    <t>타인의 선의 가정 정도</t>
  </si>
  <si>
    <t>일반화된 대인 신뢰로 신뢰 성향 근사</t>
  </si>
  <si>
    <t>HUMNAT</t>
  </si>
  <si>
    <t>인간의 본성의 선악에 대한 의견</t>
  </si>
  <si>
    <t>2012,2016,2018,2021,2023,2025</t>
  </si>
  <si>
    <t>인간 본성 선함 인식</t>
  </si>
  <si>
    <t>BEFAIR</t>
  </si>
  <si>
    <t>사람들의 공정성에 대한 평가</t>
  </si>
  <si>
    <t>2004,2014,2023</t>
  </si>
  <si>
    <t>PERTRT5</t>
  </si>
  <si>
    <t>대인 신뢰5: 낯선 사람</t>
  </si>
  <si>
    <t>낯선 사람 신뢰→성격 신뢰</t>
  </si>
  <si>
    <t>TRUST1</t>
  </si>
  <si>
    <t>대인신뢰1: 완전히 믿을 수 있는 사람은 극히 소수</t>
  </si>
  <si>
    <t>대인 불신 문항 역코딩</t>
  </si>
  <si>
    <t>일반신뢰→성격 신뢰 facet 가정</t>
  </si>
  <si>
    <t>지난 한 주 무력감</t>
  </si>
  <si>
    <t>HLTPBM5</t>
  </si>
  <si>
    <t>건강문제5: 자신의 문제를 극복할 수 없을 거라고 느낌</t>
  </si>
  <si>
    <t>문제 극복 불가 느낌→취약성</t>
  </si>
  <si>
    <t>BURDNEVR</t>
  </si>
  <si>
    <t>매일매일 해야 하는 일들이 버겁다</t>
  </si>
  <si>
    <t>일상 과업이 버거움=압도감</t>
  </si>
  <si>
    <t>문제 감당 못함=취약성 문항과 유사</t>
  </si>
  <si>
    <t>중국 영화 시청→중국문화 관심</t>
  </si>
  <si>
    <t>일본 대중문화 소비</t>
  </si>
  <si>
    <t>미국 영화 관람 빈도=미국 문화 관심 대리</t>
  </si>
  <si>
    <t>MUSICUSA</t>
  </si>
  <si>
    <t>외국 음악 청취빈도: 미국</t>
  </si>
  <si>
    <t>미국 음악 청취 빈도=미국 문화 관심 대리</t>
  </si>
  <si>
    <t>손위, 손아래 형제 수(SIBNO1, 2, 4, 5) 결합해 출생순위 산출</t>
  </si>
  <si>
    <t>SIBNO4</t>
  </si>
  <si>
    <t>형제자매수4: 남동생(사망자포함)</t>
  </si>
  <si>
    <t>SIBNO2</t>
  </si>
  <si>
    <t>형제자매수2: 누나 또는 언니(사망자포함)</t>
  </si>
  <si>
    <t>SIBNO5</t>
  </si>
  <si>
    <t>형제자매수5: 여동생(사망자포함)</t>
  </si>
  <si>
    <t>SIBNO6</t>
  </si>
  <si>
    <t>형제자매수6: 합계(R&amp;사망자포함)</t>
  </si>
  <si>
    <t>총 형제수로 외동 여부만 식별</t>
  </si>
  <si>
    <t>기타 장애 보유</t>
  </si>
  <si>
    <t>장애 없음 여부</t>
  </si>
  <si>
    <t>보유 장애2: 지체장애</t>
  </si>
  <si>
    <t>지체장애 보유</t>
  </si>
  <si>
    <t>DISABIL3</t>
  </si>
  <si>
    <t>보유 장애3: 뇌병변 장애(뇌손상, 뇌성마비, 뇌졸중)</t>
  </si>
  <si>
    <t>뇌병변 장애 보유</t>
  </si>
  <si>
    <t>시각장애 보유</t>
  </si>
  <si>
    <t>청각장애 보유</t>
  </si>
  <si>
    <t>DISABIL6</t>
  </si>
  <si>
    <t>보유 장애6: 언어장애</t>
  </si>
  <si>
    <t>언어장애 보유</t>
  </si>
  <si>
    <t>진정서 서명 참여 여부</t>
  </si>
  <si>
    <t>AVOIDBUY</t>
  </si>
  <si>
    <t>정치적 참여의사 및 참여여부2: 상품구매불매</t>
  </si>
  <si>
    <t>정치, 윤리적 불매 참여 여부</t>
  </si>
  <si>
    <t>시위 참가 여부</t>
  </si>
  <si>
    <t>CNTCTGOV</t>
  </si>
  <si>
    <t>정치적 참여의사 및 참여여부5: 정치인공무원접촉</t>
  </si>
  <si>
    <t>정치인, 공무원 접촉 여부</t>
  </si>
  <si>
    <t>POLFUNDS</t>
  </si>
  <si>
    <t>정치적 참여의사 및 참여여부6: 기부모금</t>
  </si>
  <si>
    <t>정치적 기부, 모금 여부</t>
  </si>
  <si>
    <t>정치집회 참가 여부</t>
  </si>
  <si>
    <t>INTERPOL</t>
  </si>
  <si>
    <t>정치적 참여의사 및 참여여부8: 인터넷토론참여</t>
  </si>
  <si>
    <t>2004,2009,2014</t>
  </si>
  <si>
    <t>인터넷 정치토론 참여 여부</t>
  </si>
  <si>
    <t>USEMEDIA</t>
  </si>
  <si>
    <t>정치적 참여의사 및 참여여부7: 언론기관접촉</t>
  </si>
  <si>
    <t>언론기관 접촉 여부</t>
  </si>
  <si>
    <t>POLINT04</t>
  </si>
  <si>
    <t>2004,2007,2014</t>
  </si>
  <si>
    <t>정치 관심도를 정치 관여로</t>
  </si>
  <si>
    <t>DISCPOL</t>
  </si>
  <si>
    <t>친구, 친척 또는 직장동료와의 정치적 의견 교환 정도</t>
  </si>
  <si>
    <t>2004,2014</t>
  </si>
  <si>
    <t>정치 의견 교환 빈도</t>
  </si>
  <si>
    <t>CHNGEOTH</t>
  </si>
  <si>
    <t>친구, 친척 또는 직장동료에 대한 정치적 의견의 설득 정도</t>
  </si>
  <si>
    <t>타인 정치적 설득 빈도</t>
  </si>
  <si>
    <t>GRPPARTY</t>
  </si>
  <si>
    <t>사회단체 참여여부 및 활동정도1: 정당</t>
  </si>
  <si>
    <t>정당 참여, 활동 정도</t>
  </si>
  <si>
    <t>POLPAR03</t>
  </si>
  <si>
    <t>참여활동에 대한 의견3: 정치에 대한 관심도</t>
  </si>
  <si>
    <t>관심만 측정, 참여 아님</t>
  </si>
  <si>
    <t>MEMB1</t>
  </si>
  <si>
    <t>조직/모임 가입 및 참여정도1: 정치모임</t>
  </si>
  <si>
    <t>정치모임 참여 정도</t>
  </si>
  <si>
    <t>POLSNS</t>
  </si>
  <si>
    <t>정치적 참여의사 및 참여여부9: 선거관련글공유</t>
  </si>
  <si>
    <t>선거 관련 글 공유 여부</t>
  </si>
  <si>
    <t>PARTCYBR</t>
  </si>
  <si>
    <t>정치적 참여의사 및 참여여부10: 온라인집단행동참여</t>
  </si>
  <si>
    <t>온라인 집단행동 참여 여부</t>
  </si>
  <si>
    <t>POLREPLY</t>
  </si>
  <si>
    <t>정치적 참여의사 및 참여여부11: 정치관련게시물댓글</t>
  </si>
  <si>
    <t>정치 게시물 댓글 여부</t>
  </si>
  <si>
    <t>HRCIVL2</t>
  </si>
  <si>
    <t>인권신장 위한 집단행동 참여2: 거리시위</t>
  </si>
  <si>
    <t>거리시위 참여=정치, 시민 참여</t>
  </si>
  <si>
    <t>HRCIVL1</t>
  </si>
  <si>
    <t>인권신장 위한 집단행동 참여1: 서명운동</t>
  </si>
  <si>
    <t>서명운동 참여=정치, 시민 참여</t>
  </si>
  <si>
    <t>GRPPART5</t>
  </si>
  <si>
    <t>정당 또는 정치 모임이나 단체 참여도</t>
  </si>
  <si>
    <t>정당, 정치모임 참여도</t>
  </si>
  <si>
    <t>PUBPAR4</t>
  </si>
  <si>
    <t>공공활동 참여경험4: 정치적 이슈 관련 활동</t>
  </si>
  <si>
    <t>정치 이슈 활동 경험</t>
  </si>
  <si>
    <t>ACTIFDIS</t>
  </si>
  <si>
    <t>귀하는 사회에 대해 불만이 있는 경우에 어떻게 하십니까?</t>
  </si>
  <si>
    <t>사회 불만 시 행동 방식을 참여 수준으로</t>
  </si>
  <si>
    <t>DEMOONF</t>
  </si>
  <si>
    <t>지난 1년간 온·오프라인 정치 참여 경험2: 데모나 정치 시위에 참가하기</t>
  </si>
  <si>
    <t>시위 참가 경험</t>
  </si>
  <si>
    <t>PETTNONF</t>
  </si>
  <si>
    <t>지난 1년간 온·오프라인 정치 참여 경험1: 청원서에 서명하기</t>
  </si>
  <si>
    <t>청원 서명 경험</t>
  </si>
  <si>
    <t>MTPOLONF</t>
  </si>
  <si>
    <t>지난 1년간 온·오프라인 정치 참여 경험3: 자신의 의견을 말하기 위해 정치인과 만나거나 만남을 시도하기</t>
  </si>
  <si>
    <t>정치인 접촉 경험</t>
  </si>
  <si>
    <t>HLPDMONF</t>
  </si>
  <si>
    <t>지난 1년간 온·오프라인 정치 참여 경험4: 데모나 정치 시위를 조직하거나 조직하는 데 참여하기</t>
  </si>
  <si>
    <t>시위 조직 경험</t>
  </si>
  <si>
    <t>CANVIGIL</t>
  </si>
  <si>
    <t>촛불집회 참석 여부</t>
  </si>
  <si>
    <t>집회 참여 경험=정치 참여 행동</t>
  </si>
  <si>
    <t>KFLAGDEM</t>
  </si>
  <si>
    <t>태극기집회 참석 여부</t>
  </si>
  <si>
    <t>INTPOLVW</t>
  </si>
  <si>
    <t>지난 1년간 온라인에서 정치적 견해 표명 빈도</t>
  </si>
  <si>
    <t>온라인 정치 견해 표명 빈도</t>
  </si>
  <si>
    <t>결혼연도→현 관계 지속기간(기혼자만)</t>
  </si>
  <si>
    <t>MARAGE</t>
  </si>
  <si>
    <t>현 배우자와 결혼 당시 응답자의 연령</t>
  </si>
  <si>
    <t>결혼 당시 연령+현 연령으로 산출</t>
  </si>
  <si>
    <t>종교 범주 직접 매핑</t>
  </si>
  <si>
    <t>고위험 고수익 투자 의향</t>
  </si>
  <si>
    <t>WRKEARN</t>
  </si>
  <si>
    <t>일의 가치1: 일은 단지 돈을 벌기 위한 수단</t>
  </si>
  <si>
    <t>일은 돈벌이 수단이라는 태도</t>
  </si>
  <si>
    <t>RHINC</t>
  </si>
  <si>
    <t>직업가치2: 높은 소득</t>
  </si>
  <si>
    <t>직업 선택 시 높은 소득 중요도</t>
  </si>
  <si>
    <t>WRKENJOY</t>
  </si>
  <si>
    <t>일의 가치2: 돈을 벌 필요가 없더라도 보수 받는 일은 필요</t>
  </si>
  <si>
    <t>돈 필요 없어도 일하고 싶음 역코딩</t>
  </si>
  <si>
    <t>HOURMON</t>
  </si>
  <si>
    <t>근로시간과 소득 간의 상대적 중요도 평가</t>
  </si>
  <si>
    <t>근로시간보다 소득 중시 여부</t>
  </si>
  <si>
    <t>CULTBIAS1</t>
  </si>
  <si>
    <t>인생관1: 돈을 버는 것이 열심히 일하는 주된 이유이다</t>
  </si>
  <si>
    <t>2013</t>
  </si>
  <si>
    <t>돈이 일하는 주된 이유 동의로 경제적 동기 근사</t>
  </si>
  <si>
    <t>소득 충분해도 일하고 싶음=비경제적 동기</t>
  </si>
  <si>
    <t>POLEFF19</t>
  </si>
  <si>
    <t>정치적 효능감3: 중요 정치 현안에 대한 이해</t>
  </si>
  <si>
    <t>정치 현안 이해도 자기평가</t>
  </si>
  <si>
    <t>POLEFF20</t>
  </si>
  <si>
    <t>정치적 효능감4: 정치 및 행정에 대한 이해</t>
  </si>
  <si>
    <t>정치, 행정 이해도 자기평가</t>
  </si>
  <si>
    <t>정치, 국정 이해 어려움(역)</t>
  </si>
  <si>
    <t>POLEFF3</t>
  </si>
  <si>
    <t>POLEFF4</t>
  </si>
  <si>
    <t>정치적 효능감4: 정치 및 정부에 대한 이해</t>
  </si>
  <si>
    <t>정치, 정부 이해도 자기평가</t>
  </si>
  <si>
    <t>장래 성취 계획 보유로 목표 설정 습관 근사</t>
  </si>
  <si>
    <t>낮잠 빈도</t>
  </si>
  <si>
    <t>인터넷 사용 줄이려는 시도=디지털 절제 습관 대리</t>
  </si>
  <si>
    <t>돌봄 필요 가족 유무, 본인 돌봄 여부는 가정</t>
  </si>
  <si>
    <t>CARETM</t>
  </si>
  <si>
    <t>일주일 평균 가족 보살피는데 사용하는 시간</t>
  </si>
  <si>
    <t>주당 가족 돌봄 시간(자녀 돌봄 포함)</t>
  </si>
  <si>
    <t>만성질환 유무</t>
  </si>
  <si>
    <t>DIGDIABT</t>
  </si>
  <si>
    <t>의사로부터 진단 받은 경험2: 당뇨병</t>
  </si>
  <si>
    <t>당뇨병 진단 경험 → 만성질환</t>
  </si>
  <si>
    <t>DIGRHEUM</t>
  </si>
  <si>
    <t>의사로부터 진단 받은 경험1: 류머티스 관절염</t>
  </si>
  <si>
    <t>류머티스 관절염 진단 경험 → 만성질환</t>
  </si>
  <si>
    <t>DIGLUPUS</t>
  </si>
  <si>
    <t>의사로부터 진단 받은 경험3: 루푸스병</t>
  </si>
  <si>
    <t>루푸스 진단 경험 → 만성질환</t>
  </si>
  <si>
    <t>DIGGOUT</t>
  </si>
  <si>
    <t>의사로부터 진단 받은 경험4: 통풍</t>
  </si>
  <si>
    <t>통풍 진단 경험 → 만성질환</t>
  </si>
  <si>
    <t>ARTHRITS</t>
  </si>
  <si>
    <t>일상생활 및 사회활동 제한2: 관절염, 류머티즘</t>
  </si>
  <si>
    <t>관절염 활동 제한 → 만성질환 있음(제한 수반만)</t>
  </si>
  <si>
    <t>HEARTPRB</t>
  </si>
  <si>
    <t>일상생활 및 사회활동 제한3: 심장질환</t>
  </si>
  <si>
    <t>심장질환 활동 제한 → 만성질환 있음(제한 수반만)</t>
  </si>
  <si>
    <t>DIABETES</t>
  </si>
  <si>
    <t>일상생활 및 사회활동 제한6: 당뇨병</t>
  </si>
  <si>
    <t>당뇨 활동 제한 → 만성질환 있음(제한 수반만)</t>
  </si>
  <si>
    <t>HYPRTNSN</t>
  </si>
  <si>
    <t>일상생활 및 사회활동 제한7: 고혈압</t>
  </si>
  <si>
    <t>고혈압 활동 제한 → 만성질환 있음(제한 수반만)</t>
  </si>
  <si>
    <t>CANCER</t>
  </si>
  <si>
    <t>일상생활 및 사회활동 제한9: 암</t>
  </si>
  <si>
    <t>암 활동 제한 → 만성질환 있음(제한 수반만)</t>
  </si>
  <si>
    <t>ASTHMA</t>
  </si>
  <si>
    <t>일상생활 및 사회활동 제한4: 호흡문제, 폐질환, 천식</t>
  </si>
  <si>
    <t>호흡기질환 활동 제한 → 만성질환 있음(제한 수반만)</t>
  </si>
  <si>
    <t>STROKE</t>
  </si>
  <si>
    <t>일상생활 및 사회활동 제한5: 뇌졸중</t>
  </si>
  <si>
    <t>뇌졸중 활동 제한 → 만성질환 있음(제한 수반만)</t>
  </si>
  <si>
    <t>피곤함, 기력 저하됨</t>
  </si>
  <si>
    <t>2009,2012</t>
  </si>
  <si>
    <t>피곤함, 기력 저하 빈도 역코딩 → 에너지 수준</t>
  </si>
  <si>
    <t>최근 한 달 활력감</t>
  </si>
  <si>
    <t>CESD9</t>
  </si>
  <si>
    <t>지난 한 주간 감정 경험9: 활력감</t>
  </si>
  <si>
    <t>지난 한 주 활력감</t>
  </si>
  <si>
    <t>TIRED1M</t>
  </si>
  <si>
    <t>지난 한 달간 일로 인해 지쳤던 경험</t>
  </si>
  <si>
    <t>일로 인한 소진 빈도 역코딩</t>
  </si>
  <si>
    <t>주관적 건강상태</t>
  </si>
  <si>
    <t>HEALR</t>
  </si>
  <si>
    <t>응답자 건강상태</t>
  </si>
  <si>
    <t>HEALTH23</t>
  </si>
  <si>
    <t>주관적 건강 상태</t>
  </si>
  <si>
    <t>HEALTH21</t>
  </si>
  <si>
    <t>주관적 건강</t>
  </si>
  <si>
    <t>HEALPRB1</t>
  </si>
  <si>
    <t>지난 한 달간 신체건강 문제로 인한 일상생활 제한1: 원하는 만큼 달성하지 못함</t>
  </si>
  <si>
    <t>신체건강으로 인한 성취 제한</t>
  </si>
  <si>
    <t>HEALPRB2</t>
  </si>
  <si>
    <t>지난 한 달간 신체건강 문제로 인한 일상생활 제한2: 일이나 다른 활동에서 제한을 받음</t>
  </si>
  <si>
    <t>신체건강으로 인한 활동 제한</t>
  </si>
  <si>
    <t>HARDSOC1</t>
  </si>
  <si>
    <t>건강으로 인한 사회활동 제약</t>
  </si>
  <si>
    <t>2021,2023</t>
  </si>
  <si>
    <t>HARDSOC</t>
  </si>
  <si>
    <t>신체 및 정신 건강 문제로 인한 사회활동 방해 정도</t>
  </si>
  <si>
    <t>건강으로 인한 사회활동 방해</t>
  </si>
  <si>
    <t>HLTPBM1</t>
  </si>
  <si>
    <t>건강문제1: 직업이나 가사 활동에서 어려움</t>
  </si>
  <si>
    <t>건강으로 인한 일, 가사 곤란 빈도</t>
  </si>
  <si>
    <t>SOCLIMIT</t>
  </si>
  <si>
    <t>건강 문제 때문에 가족 및 친구와의 일상적 사회 활동에서 제약 받은 정도</t>
  </si>
  <si>
    <t>GOHOSP1M</t>
  </si>
  <si>
    <t>지난 한 달간 내원 횟수</t>
  </si>
  <si>
    <t>월 내원 횟수 많을수록 건강 나쁨 가정</t>
  </si>
  <si>
    <t>처방전 이해 도움 필요(건강문해력 단일문항)</t>
  </si>
  <si>
    <t>청각장애 보유=청력 범주</t>
  </si>
  <si>
    <t>HEARPRB</t>
  </si>
  <si>
    <t>일상생활 및 사회활동 제한12: 청각문제</t>
  </si>
  <si>
    <t>청각문제로 활동 제한 → 청각 장애 범주 근사</t>
  </si>
  <si>
    <t>건강보험 유형(직장/지역/의료급여 등)</t>
  </si>
  <si>
    <t>생활만족도→주관적 안녕 대리</t>
  </si>
  <si>
    <t>행복감으로 정신적 안녕 근사</t>
  </si>
  <si>
    <t>PHQ-9 우울 증상 문항; 합산 점수로 정신건강 범주</t>
  </si>
  <si>
    <t>STRDECLN</t>
  </si>
  <si>
    <t>일을 하는 것에 대한 흥미나 재미가 없음</t>
  </si>
  <si>
    <t>행복감을 정신건강 지표로</t>
  </si>
  <si>
    <t>THINKDIE</t>
  </si>
  <si>
    <t>(지난 1개월) 차라리 죽는 것이 낫다고 생각하든지 죽었으면 하고 바란 적이 있습니까?</t>
  </si>
  <si>
    <t>자살, 자해 생각/행동 경험 → 정신건강 위험 신호</t>
  </si>
  <si>
    <t>HURTSELF</t>
  </si>
  <si>
    <t>(지난 1개월) 자해하고 싶었습니까?</t>
  </si>
  <si>
    <t>THNKSUI</t>
  </si>
  <si>
    <t>(지난 1개월) 자살에 대하여 생각했습니까?</t>
  </si>
  <si>
    <t>PLANSUI</t>
  </si>
  <si>
    <t>(지난 1개월) 자살을 계획했습니까?</t>
  </si>
  <si>
    <t>ATTMTSUI</t>
  </si>
  <si>
    <t>(지난 1개월) 자살 시도를 했습니까?</t>
  </si>
  <si>
    <t>잠들기 어렵거나 자꾸 깨어남, 또는 너무 많이 잠</t>
  </si>
  <si>
    <t>FEELBAD</t>
  </si>
  <si>
    <t>내 자신이 나쁜 사람이라는 느낌-또는 내 자신을 실패자라고 느끼거나, 나 때문에 나 자신이나 내 가족이 불행</t>
  </si>
  <si>
    <t>BETTRDIE</t>
  </si>
  <si>
    <t>나는 차라리 죽는 것이 낫겠다는 등의 생각 또는 어떤 면에서건 내 스스로에게 상처를 주는 생각들</t>
  </si>
  <si>
    <t>EATDSODR</t>
  </si>
  <si>
    <t>식욕저하 또는 과식</t>
  </si>
  <si>
    <t>HRDFOCSD</t>
  </si>
  <si>
    <t>신문을 읽거나 TV를 볼때 집중이 어려움</t>
  </si>
  <si>
    <t>FEELNRVS</t>
  </si>
  <si>
    <t>남들이 알아챌 정도로 거동이나 말이 느림. 또는 반대로 너무 초조하고 안절부절못해서 평소보다 많이 돌아다니고</t>
  </si>
  <si>
    <t>COMMTSUI</t>
  </si>
  <si>
    <t>(평생 동안) 자살 시도를 한 번이라도 한 적이 있습니까?</t>
  </si>
  <si>
    <t>행복감→정신적 안녕 대리지표</t>
  </si>
  <si>
    <t>EMOTPRB1</t>
  </si>
  <si>
    <t>지난 한 달간 정신건강 문제로 인한 일상생활 제한1: 내가 원하는 만큼 달성하지 못함</t>
  </si>
  <si>
    <t>정서문제로 인한 성취 제한</t>
  </si>
  <si>
    <t>최근 한 달 우울감 빈도</t>
  </si>
  <si>
    <t>EMOTPRB2</t>
  </si>
  <si>
    <t>지난 한 달간 정신건강 문제로 인한 일상생활 제한2: 일이나 다른 활동에서 주의가 떨어짐</t>
  </si>
  <si>
    <t>정서문제로 인한 주의력 저하</t>
  </si>
  <si>
    <t>지난 한 주 우울감</t>
  </si>
  <si>
    <t>DPRESSN</t>
  </si>
  <si>
    <t>일상생활 및 사회활동 제한14: 우울/불안/정서상 문제</t>
  </si>
  <si>
    <t>우울, 불안 등 정서문제 활동 제한 → 정신건강 문제 있음</t>
  </si>
  <si>
    <t>최근 불행, 우울 빈도</t>
  </si>
  <si>
    <t>SATFACE6</t>
  </si>
  <si>
    <t>삶의 만족도6: 전체 삶</t>
  </si>
  <si>
    <t>전반적 삶의 만족도로 정신적 안녕 근사</t>
  </si>
  <si>
    <t>ATMPSUIC</t>
  </si>
  <si>
    <t>평생 자살 생각 및 시도 경험</t>
  </si>
  <si>
    <t>THNKSUIC</t>
  </si>
  <si>
    <t>지난 1년간 자살 생각 빈도</t>
  </si>
  <si>
    <t>THNKSFHM</t>
  </si>
  <si>
    <t>스트레스 상황에서 자해 행동 실천 및 생각 여부</t>
  </si>
  <si>
    <t>FUTRSUIC</t>
  </si>
  <si>
    <t>미래 자살 시도 가능성</t>
  </si>
  <si>
    <t>SLFHRMNM</t>
  </si>
  <si>
    <t>평생 비자살적 자해 횟수</t>
  </si>
  <si>
    <t>THNKSUIYR</t>
  </si>
  <si>
    <t>(지난 1년) 자살에 대하여 생각한 적이 있었다</t>
  </si>
  <si>
    <t>PLANSUIYR</t>
  </si>
  <si>
    <t>(지난 1년) 자살을 계획한 적이 있었다</t>
  </si>
  <si>
    <t>ATTMTSUIYR</t>
  </si>
  <si>
    <t>(지난 1년) 자살 시도를 한 적이 있었다</t>
  </si>
  <si>
    <t>계단 오르기 제약</t>
  </si>
  <si>
    <t>지체장애=이동성 제약</t>
  </si>
  <si>
    <t>TABLE</t>
  </si>
  <si>
    <t>건강상태에 의한 일상생활의 제약1: 탁자 옮기기, 진공청소기 사용하기, 볼링, 골프 등</t>
  </si>
  <si>
    <t>중등도 활동 제약</t>
  </si>
  <si>
    <t>뇌병변 장애를 이동성 제약으로 가정</t>
  </si>
  <si>
    <t>FRACTURE</t>
  </si>
  <si>
    <t>일상생활 및 사회활동 제한1: 골절, 관절부상</t>
  </si>
  <si>
    <t>골절, 관절부상 활동 제한 → 이동성 제약 가정</t>
  </si>
  <si>
    <t>통증으로 인한 일상 방해 정도</t>
  </si>
  <si>
    <t>건강문제2: 신체적 아픔이나 통증</t>
  </si>
  <si>
    <t>최근 4주 신체 통증 빈도→통증 수준</t>
  </si>
  <si>
    <t>BACKPAIN</t>
  </si>
  <si>
    <t>일상생활 및 사회활동 제한8: 등, 목의 문제</t>
  </si>
  <si>
    <t>등, 목 문제 활동 제한 → 만성 통증 가정</t>
  </si>
  <si>
    <t>PAINFUL</t>
  </si>
  <si>
    <t>(지난 1년) 통증이나 불편함을 느낀 부위가 있었는지의 여부</t>
  </si>
  <si>
    <t>지난 1년 통증 부위 유무로 통증 여부 근사</t>
  </si>
  <si>
    <t>수면 곤란 빈도 → 수면의 질</t>
  </si>
  <si>
    <t>최근 한 달 수면의 질</t>
  </si>
  <si>
    <t>CESD3</t>
  </si>
  <si>
    <t>지난 한 주간 감정 경험3: 불면증</t>
  </si>
  <si>
    <t>지난 한 주 불면</t>
  </si>
  <si>
    <t>일상 스트레스 수준 → 스트레스 범주</t>
  </si>
  <si>
    <t>FEELPCE</t>
  </si>
  <si>
    <t>지난 한 달간 정서 경험1: 차분하고 평온함</t>
  </si>
  <si>
    <t>차분, 평온 빈도(역코딩)</t>
  </si>
  <si>
    <t>STRSSECO</t>
  </si>
  <si>
    <t>스트레스_경제</t>
  </si>
  <si>
    <t>경제 영역 스트레스로 전체 스트레스 근사</t>
  </si>
  <si>
    <t>STRSSFAM</t>
  </si>
  <si>
    <t>스트레스_가족</t>
  </si>
  <si>
    <t>가족 영역 스트레스로 전체 스트레스 근사</t>
  </si>
  <si>
    <t>STRSSJOB</t>
  </si>
  <si>
    <t>스트레스_사업이나 직장</t>
  </si>
  <si>
    <t>직장 영역 스트레스로 전체 스트레스 근사</t>
  </si>
  <si>
    <t>XHAUSTN</t>
  </si>
  <si>
    <t>직무스트레스1: 일에 지친 상태에서 집으로 돌아오는 경우</t>
  </si>
  <si>
    <t>일로 인한 탈진 빈도(취업자 한정)</t>
  </si>
  <si>
    <t>STRESS</t>
  </si>
  <si>
    <t>직무스트레스3: 일 때문에 스트레스를 받는 경우</t>
  </si>
  <si>
    <t>직무 스트레스 빈도(취업자 한정)</t>
  </si>
  <si>
    <t>일상 부담감을 스트레스로</t>
  </si>
  <si>
    <t>CESD11</t>
  </si>
  <si>
    <t>지난 한 주간 감정 경험11: 평온함</t>
  </si>
  <si>
    <t>평온함(역코딩)</t>
  </si>
  <si>
    <t>일로 지친 경험 빈도를 스트레스로</t>
  </si>
  <si>
    <t>CALM</t>
  </si>
  <si>
    <t>평온함</t>
  </si>
  <si>
    <t>평온함 빈도 역코딩으로 스트레스 근사</t>
  </si>
  <si>
    <t>시각장애 보유=시력 범주</t>
  </si>
  <si>
    <t>VSIONPRB</t>
  </si>
  <si>
    <t>일상생활 및 사회활동 제한11: 시력문제</t>
  </si>
  <si>
    <t>시력문제로 활동 제한 → 시각 장애 범주 근사</t>
  </si>
  <si>
    <t>MYOPIA</t>
  </si>
  <si>
    <t>근시 여부</t>
  </si>
  <si>
    <t>근시 여부→시력교정 필요</t>
  </si>
  <si>
    <t>노래방 이용 빈도</t>
  </si>
  <si>
    <t>LTAC16PL</t>
  </si>
  <si>
    <t>여가활동의 즐거움7: 노래방 가기</t>
  </si>
  <si>
    <t>노래방의 즐거움 정도</t>
  </si>
  <si>
    <t>수공예 전반 빈도, 종목 구분 불가</t>
  </si>
  <si>
    <t>지도자 역할 선호→주도성</t>
  </si>
  <si>
    <t>친밀한 대화 즐김으로 온정성 근사</t>
  </si>
  <si>
    <t>학력 차별 경험=역경 일부</t>
  </si>
  <si>
    <t>DISCRM1</t>
  </si>
  <si>
    <t>차별-침해 경험1: 사회적 지위로 인한 차별</t>
  </si>
  <si>
    <t>사회적 지위 차별 경험=역경 일부</t>
  </si>
  <si>
    <t>DISCRM3</t>
  </si>
  <si>
    <t>차별-침해 경험3: 성별로 인한 차별</t>
  </si>
  <si>
    <t>성차별 경험=역경 일부</t>
  </si>
  <si>
    <t>DISCRM4</t>
  </si>
  <si>
    <t>차별-침해 경험4: 나이로 인한 차별</t>
  </si>
  <si>
    <t>연령차별 경험=역경 일부</t>
  </si>
  <si>
    <t>DISCRM5</t>
  </si>
  <si>
    <t>차별-침해 경험5: 종교로 인한 차별</t>
  </si>
  <si>
    <t>종교차별 경험=역경 일부</t>
  </si>
  <si>
    <t>DISCRM6</t>
  </si>
  <si>
    <t>차별-침해 경험6: 출신지 및 거주지로 인한 차별</t>
  </si>
  <si>
    <t>출신지 차별 경험=역경 일부</t>
  </si>
  <si>
    <t>DISCRM7</t>
  </si>
  <si>
    <t>차별-침해 경험7: 외모로 인한 차별</t>
  </si>
  <si>
    <t>외모 차별 경험=역경 일부</t>
  </si>
  <si>
    <t>DISCRM8</t>
  </si>
  <si>
    <t>차별-침해 경험8: 성추행</t>
  </si>
  <si>
    <t>성추행 피해 경험=역경 일부</t>
  </si>
  <si>
    <t>TRAU01</t>
  </si>
  <si>
    <t>18세 이전 외상 경험1: 생명을 위협하는 자연 재해</t>
  </si>
  <si>
    <t>18세 이전 역경, 학대 경험; 문항 합산으로 역경 수준</t>
  </si>
  <si>
    <t>TRAU02</t>
  </si>
  <si>
    <t>18세 이전 외상 경험2: 심각한 사고</t>
  </si>
  <si>
    <t>TRAU03</t>
  </si>
  <si>
    <t>18세 이전 외상 경험3: 심각한 개인적 상해나 질병</t>
  </si>
  <si>
    <t>TRAU04</t>
  </si>
  <si>
    <t>18세 이전 외상 경험4: 부모님이나 돌보아 주시던 분의 사망 또는 심각한 질병 걸림</t>
  </si>
  <si>
    <t>TRAU05</t>
  </si>
  <si>
    <t>18세 이전 외상 경험5: 부모님의 이혼이나 별거</t>
  </si>
  <si>
    <t>TRAU06</t>
  </si>
  <si>
    <t>18세 이전 외상 경험6: 형제/자매의 사망 또는 심각한 상해</t>
  </si>
  <si>
    <t>TRAU07</t>
  </si>
  <si>
    <t>18세 이전 외상 경험7: 친구의 사망 또는 심각한 상해</t>
  </si>
  <si>
    <t>TRAU08</t>
  </si>
  <si>
    <t>18세 이전 외상 경험8: 가족 또는 다른 사람이 폭력을 당하는 것 목격</t>
  </si>
  <si>
    <t>TRAU09</t>
  </si>
  <si>
    <t>18세 이전 외상 경험9: 가족이 정신질환이나 신경쇠약으로 고통 받음</t>
  </si>
  <si>
    <t>TRAU10</t>
  </si>
  <si>
    <t>18세 이전 외상 경험10: 부모님이나 돌보아 주시던 분의 알코올 또는 약물 중독</t>
  </si>
  <si>
    <t>TRAU11</t>
  </si>
  <si>
    <t>18세 이전 외상 경험11: 살인 목격</t>
  </si>
  <si>
    <t>TRAU12</t>
  </si>
  <si>
    <t>18세 이전 신체적인 벌 경험1: 손바닥으로 얼굴을 맞음</t>
  </si>
  <si>
    <t>TRAU13</t>
  </si>
  <si>
    <t>18세 이전 신체적인 벌 경험2: 징벌로써 뜨거운 물, 담배 등에 화상을 입음</t>
  </si>
  <si>
    <t>TRAU14</t>
  </si>
  <si>
    <t>18세 이전 신체적인 벌 경험3: 주먹으로 맞거나 발에 차임</t>
  </si>
  <si>
    <t>TRAU15</t>
  </si>
  <si>
    <t>18세 이전 신체적인 벌 경험4: 징벌로써 누군가가 나에게 던진 물건에 맞음</t>
  </si>
  <si>
    <t>TRAU16</t>
  </si>
  <si>
    <t>18세 이전 신체적인 벌 경험5: 징벌로써 다른 사람에 의해 심하게 밀리거나 밀쳐짐</t>
  </si>
  <si>
    <t>TRAU17</t>
  </si>
  <si>
    <t>18세 이전 정서적인 학대 경험1: 멸시나 비웃음</t>
  </si>
  <si>
    <t>TRAU18</t>
  </si>
  <si>
    <t>18세 이전 정서적인 학대 경험2: 무시를 당하거나 인정받지 못한다는 느낌을 받음</t>
  </si>
  <si>
    <t>TRAU19</t>
  </si>
  <si>
    <t>18세 이전 정서적인 학대 경험3: 쓸모없다는 말을 들음</t>
  </si>
  <si>
    <t>TRAU20</t>
  </si>
  <si>
    <t>18세 이전 정서적인 학대 경험4: 무관심하게 방치되거나 사랑 받지 못한다는 느낌을 받음</t>
  </si>
  <si>
    <t>TRAU21</t>
  </si>
  <si>
    <t>18세 이전 정서적인 학대 경험5: 부모님/돌봄자가 내가 필요로 하는 바를 이해해 주지 못함</t>
  </si>
  <si>
    <t>TRAU22</t>
  </si>
  <si>
    <t>18세 이전 성적인 사건 경험1: 누군가 나에게 성적으로 불쾌한 육체적 접촉을 함</t>
  </si>
  <si>
    <t>16세 때 부모 동거 여부로 성장 가정환경 일부 포착</t>
  </si>
  <si>
    <t>LIVE15YR</t>
  </si>
  <si>
    <t>15세 이전까지 가장 오래 산 지역</t>
  </si>
  <si>
    <t>15세 이전 거주지역(도시/농촌) 가정</t>
  </si>
  <si>
    <t>RANK15</t>
  </si>
  <si>
    <t>15세 당시 주관적 계층의식</t>
  </si>
  <si>
    <t>2009,2018</t>
  </si>
  <si>
    <t>15세 당시 주관적 계층</t>
  </si>
  <si>
    <t>NUMBOOKS</t>
  </si>
  <si>
    <t>가족이 살고 있는 집의 책 권수_R15세 당시</t>
  </si>
  <si>
    <t>15세 당시 가정 장서 수(문화자본)</t>
  </si>
  <si>
    <t>부모 이혼, 별거 → 불안정한 성장 환경</t>
  </si>
  <si>
    <t>가정 내 폭력 목격 → 불안정한 성장 환경</t>
  </si>
  <si>
    <t>부모 중독 → 불안정한 성장 환경</t>
  </si>
  <si>
    <t>해외거주 지인 유무</t>
  </si>
  <si>
    <t>ACQTCN</t>
  </si>
  <si>
    <t>외국인 지인 유무1: 중국출신</t>
  </si>
  <si>
    <t>출신국별 외국인 지인 유무</t>
  </si>
  <si>
    <t>ACQTJP</t>
  </si>
  <si>
    <t>외국인 지인 유무2: 일본출신</t>
  </si>
  <si>
    <t>ACQTNAM</t>
  </si>
  <si>
    <t>외국인 지인 유무6: 북아메리카출신</t>
  </si>
  <si>
    <t>ACQTSEA</t>
  </si>
  <si>
    <t>외국인 지인 유무4: 동남아시아출신</t>
  </si>
  <si>
    <t>ACQTEUR</t>
  </si>
  <si>
    <t>외국인 지인 유무5: 유럽출신</t>
  </si>
  <si>
    <t>ACQTTW</t>
  </si>
  <si>
    <t>외국인 지인 유무3: 대만출신</t>
  </si>
  <si>
    <t>ACQFRN2</t>
  </si>
  <si>
    <t>외국출신의 지인 존재 여부</t>
  </si>
  <si>
    <t>외국출신 지인 유무</t>
  </si>
  <si>
    <t>MIDEAST</t>
  </si>
  <si>
    <t>중동파견 경험 유무</t>
  </si>
  <si>
    <t>중동 파견 근무=해외 문화 노출 경험</t>
  </si>
  <si>
    <t>EDUABROD</t>
  </si>
  <si>
    <t>해외에서 5일 이상의 교육 또는 훈련을 받은 적 여부</t>
  </si>
  <si>
    <t>해외 교육, 훈련 경험</t>
  </si>
  <si>
    <t>고용주, 자영자면 창업/사업 경험 있음으로 가정</t>
  </si>
  <si>
    <t>과거, 현재 신앙 변화 범주</t>
  </si>
  <si>
    <t>RELATNUP</t>
  </si>
  <si>
    <t>(응답자 11세 또는 12세 쯤) 응답자 종교의식 참여 빈도</t>
  </si>
  <si>
    <t>11-12세 종교의식 참여를 현재와 비교</t>
  </si>
  <si>
    <t>RELUP</t>
  </si>
  <si>
    <t>(응답자 어렸을 때) 가족종교</t>
  </si>
  <si>
    <t>성장기 가족종교를 현재 종교와 비교</t>
  </si>
  <si>
    <t>FINALTER</t>
  </si>
  <si>
    <t>가계 상태 변화</t>
  </si>
  <si>
    <t>2003,2004,2005,2006,2007,2008,2009,2010,2011,2012,2013,2014</t>
  </si>
  <si>
    <t>최근 가계 상태 변화(호전/악화)로 재정 궤적 방향 근사</t>
  </si>
  <si>
    <t>부모세대 대비 생활수준 상승/하락으로 세대간 궤적 근사</t>
  </si>
  <si>
    <t>SUCCESS</t>
  </si>
  <si>
    <t>사회경제적 성공 여부</t>
  </si>
  <si>
    <t>주관적 사회경제적 성공=경제적 궤적 대리</t>
  </si>
  <si>
    <t>15세 계층과 현재 계층 비교</t>
  </si>
  <si>
    <t>RESIHOW</t>
  </si>
  <si>
    <t>같은 지역(동네/도시)내 거주 기간</t>
  </si>
  <si>
    <t>현 지역 거주기간(역)</t>
  </si>
  <si>
    <t>고향사람 자부심→고향 유대</t>
  </si>
  <si>
    <t>GRPHMTN</t>
  </si>
  <si>
    <t>사회단체 참여여부 및 활동정도7: 향우회</t>
  </si>
  <si>
    <t>향우회 참여를 고향 유대로</t>
  </si>
  <si>
    <t>영어 독해능력 자기평가(영어만)</t>
  </si>
  <si>
    <t>ENGPROF3</t>
  </si>
  <si>
    <t>영어능력에 대한 주관적 평가3: 영어로 편지 쓰기</t>
  </si>
  <si>
    <t>영어 작문능력 자기평가(영어만)</t>
  </si>
  <si>
    <t>ENGPROF2</t>
  </si>
  <si>
    <t>영어능력에 대한 주관적 평가2: 영어권 사람과 대화하기</t>
  </si>
  <si>
    <t>영어 회화능력 자기평가(영어만)</t>
  </si>
  <si>
    <t>부친 사망 여부→상실 경험</t>
  </si>
  <si>
    <t>RMAALI</t>
  </si>
  <si>
    <t>모친 생존여부</t>
  </si>
  <si>
    <t>모친 사망 여부→상실 경험</t>
  </si>
  <si>
    <t>SUIKNEW3</t>
  </si>
  <si>
    <t>가까운 사람 중에 자살한 사람이 있다</t>
  </si>
  <si>
    <t>가까운 사람 자살 → 사별 상실 경험</t>
  </si>
  <si>
    <t>아동기 부모, 양육자 사망/중병 → 상실 경험</t>
  </si>
  <si>
    <t>아동기 형제자매 사망/중상 → 상실 경험</t>
  </si>
  <si>
    <t>아동기 친구 사망/중상 → 상실 경험</t>
  </si>
  <si>
    <t>초혼/재혼 여부→이전 결혼 경험</t>
  </si>
  <si>
    <t>봉사단체 소속 이력=공동체 봉사 이력</t>
  </si>
  <si>
    <t>지역별 해외여행 경험 합산</t>
  </si>
  <si>
    <t>TRVLCN</t>
  </si>
  <si>
    <t>해외여행 경험1: 중국</t>
  </si>
  <si>
    <t>TRVLSEA</t>
  </si>
  <si>
    <t>해외여행 경험4: 동남아시아</t>
  </si>
  <si>
    <t>TRVLEUR</t>
  </si>
  <si>
    <t>해외여행 경험5: 유럽</t>
  </si>
  <si>
    <t>TRVLNAM</t>
  </si>
  <si>
    <t>해외여행 경험6: 북아메리카</t>
  </si>
  <si>
    <t>TRVLTW</t>
  </si>
  <si>
    <t>해외여행 경험3: 대만</t>
  </si>
  <si>
    <t>여가활동 빈도15: 술 마시기</t>
  </si>
  <si>
    <t>음주 빈도</t>
  </si>
  <si>
    <t>TELLDRNK</t>
  </si>
  <si>
    <t>과도한 행동1: 술 마시기</t>
  </si>
  <si>
    <t>과음 지적받은 경험</t>
  </si>
  <si>
    <t>DIGALCHL</t>
  </si>
  <si>
    <t>의사로부터 진단 받은 경험5: 알코올 중독</t>
  </si>
  <si>
    <t>알코올 중독 진단 → 고위험 음주로 가정</t>
  </si>
  <si>
    <t>FREQDR10</t>
  </si>
  <si>
    <t>하루에 소주 1병 또는 맥주 4캔 이상 정도 분량의 술마시기</t>
  </si>
  <si>
    <t>과음(소주1병, 맥주4캔 이상) 빈도만</t>
  </si>
  <si>
    <t>온라인 금융거래 포함 합산 문항</t>
  </si>
  <si>
    <t>저녁식사 준비 빈도</t>
  </si>
  <si>
    <t>DINNER</t>
  </si>
  <si>
    <t>부부간 가사_저녁 식사 준비</t>
  </si>
  <si>
    <t>저녁 준비 주담당이면 요리 빈도 높음으로 가정(기혼자만)</t>
  </si>
  <si>
    <t>육류 섭취 빈도→채식/잡식 구분</t>
  </si>
  <si>
    <t>FREQEXER</t>
  </si>
  <si>
    <t>신체활동 정도</t>
  </si>
  <si>
    <t>FREQEX10</t>
  </si>
  <si>
    <t>평소보다 땀흘릴 정도나 숨이 가쁠 정도의 운동을 최소 20분 이상 하기</t>
  </si>
  <si>
    <t>20분 이상 땀나는 운동 빈도</t>
  </si>
  <si>
    <t>LTAC10</t>
  </si>
  <si>
    <t>여가활동 빈도10: 운동하기(스포츠, 헬스, 걷기 등)</t>
  </si>
  <si>
    <t>운동 빈도</t>
  </si>
  <si>
    <t>주간 숨찬 신체활동</t>
  </si>
  <si>
    <t>WALKHRS</t>
  </si>
  <si>
    <t>걷기 운동</t>
  </si>
  <si>
    <t>걷기 운동만</t>
  </si>
  <si>
    <t>지난해 문화활동 빈도3: 컴퓨터 게임</t>
  </si>
  <si>
    <t>컴퓨터 게임 빈도를 게임 빈도 범주로 변환</t>
  </si>
  <si>
    <t>인터넷 게임 빈도→게임 빈도</t>
  </si>
  <si>
    <t>TELLGAME</t>
  </si>
  <si>
    <t>과도한 행동4: 비디오나 인터넷 게임</t>
  </si>
  <si>
    <t>게임 과도 지적→고빈도 게임</t>
  </si>
  <si>
    <t>자선 기부 행동 동의 → 기부 빈도 범주</t>
  </si>
  <si>
    <t>GRNMONEY</t>
  </si>
  <si>
    <t>지난 5년간 환경단체에 기부한 경험</t>
  </si>
  <si>
    <t>환경단체 기부만 해당, 전반적 기부성향 가정</t>
  </si>
  <si>
    <t>HRCIVL4</t>
  </si>
  <si>
    <t>인권신장 위한 집단행동 참여4: 관련 시민단체 후원</t>
  </si>
  <si>
    <t>시민단체 후원=기부 행동 일부</t>
  </si>
  <si>
    <t>여가모임 참여 정도</t>
  </si>
  <si>
    <t>VALEISR</t>
  </si>
  <si>
    <t>소속된 집단5: 여가모임</t>
  </si>
  <si>
    <t>여가모임 소속=취미 몰입도 대리</t>
  </si>
  <si>
    <t>음악 청취 빈도를 청취 수준 범주로 변환</t>
  </si>
  <si>
    <t>여가활동 빈도9: 음악듣기</t>
  </si>
  <si>
    <t>음악 듣기 빈도</t>
  </si>
  <si>
    <t>음악, 영상 합산 문항</t>
  </si>
  <si>
    <t>NEWS</t>
  </si>
  <si>
    <t>신문 보는 빈도</t>
  </si>
  <si>
    <t>2003,2008,2009</t>
  </si>
  <si>
    <t>신문 열독 빈도(신문 매체 한정)</t>
  </si>
  <si>
    <t>정치 뉴스 매체 이용 빈도(정치 뉴스 한정)</t>
  </si>
  <si>
    <t>NEWSHR</t>
  </si>
  <si>
    <t>하루평균 신문 보는 시간: 시간</t>
  </si>
  <si>
    <t>신문 열독 시간(분 변수와 합산, 신문 한정)</t>
  </si>
  <si>
    <t>NEWSMN</t>
  </si>
  <si>
    <t>하루평균 신문 보는 시간: 분</t>
  </si>
  <si>
    <t>신문 열독 시간(시간 변수와 합산, 신문 한정)</t>
  </si>
  <si>
    <t>POLTV</t>
  </si>
  <si>
    <t>정치뉴스를 접하는 정도: TV</t>
  </si>
  <si>
    <t>TV 정치뉴스 접촉 빈도(매체별 합산 필요)</t>
  </si>
  <si>
    <t>POLINTER</t>
  </si>
  <si>
    <t>정치뉴스를 접하는 정도: 인터넷</t>
  </si>
  <si>
    <t>인터넷 정치뉴스 접촉 빈도(매체별 합산 필요)</t>
  </si>
  <si>
    <t>POLNEW14</t>
  </si>
  <si>
    <t>정치뉴스를 접하는 정도: 신문의 정치기사</t>
  </si>
  <si>
    <t>신문 정치기사 접촉 빈도(매체별 합산 필요)</t>
  </si>
  <si>
    <t>POLRADIO</t>
  </si>
  <si>
    <t>정치뉴스를 접하는 정도: 라디오</t>
  </si>
  <si>
    <t>라디오 정치뉴스 접촉 빈도(매체별 합산 필요)</t>
  </si>
  <si>
    <t>POLNEWS</t>
  </si>
  <si>
    <t>정치뉴스를 접하는 정도</t>
  </si>
  <si>
    <t>정치뉴스 접촉 정도를 뉴스 소비 빈도로 대리</t>
  </si>
  <si>
    <t>장래 생각 안 함 역코딩=짧은 계획 시계</t>
  </si>
  <si>
    <t>장래 계획 보유 → 긴 계획 지평으로 가정</t>
  </si>
  <si>
    <t>CULTBIAS7</t>
  </si>
  <si>
    <t>인생관7: 심각한 계획을 하기엔 미래가 너무 불확실하다</t>
  </si>
  <si>
    <t>미래 불확실해 계획 안 함 동의 → 짧은 계획 지평</t>
  </si>
  <si>
    <t>여가 독서 빈도</t>
  </si>
  <si>
    <t>TVHOURS</t>
  </si>
  <si>
    <t>하루평균 TV시청시간: 시간</t>
  </si>
  <si>
    <t>2003,2005,2008,2009</t>
  </si>
  <si>
    <t>TV 시청시간(분 변수와 합산, TV 한정)</t>
  </si>
  <si>
    <t>TVMINUTE</t>
  </si>
  <si>
    <t>하루평균 TV시청시간: 분</t>
  </si>
  <si>
    <t>TV 시청시간(시간 변수와 합산, TV 한정)</t>
  </si>
  <si>
    <t>인터넷 사용시간(분 변수와 합산, TV 제외)</t>
  </si>
  <si>
    <t>INTRESMN</t>
  </si>
  <si>
    <t>응답자 하루평균 인터넷 사용시간: 분</t>
  </si>
  <si>
    <t>인터넷 사용시간(시간 변수와 합산, TV 제외)</t>
  </si>
  <si>
    <t>SNS 시간은 전체 화면시간의 일부(하한값)</t>
  </si>
  <si>
    <t>WWWHR</t>
  </si>
  <si>
    <t>하루평균 인터넷 사용시간: 시간</t>
  </si>
  <si>
    <t>WWWMN</t>
  </si>
  <si>
    <t>하루평균 인터넷 사용시간: 분</t>
  </si>
  <si>
    <t>CELLHR</t>
  </si>
  <si>
    <t>하루평균 휴대전화 사용시간: 시간</t>
  </si>
  <si>
    <t>2005년 휴대전화 사용시간(통화 위주, 분 합산)</t>
  </si>
  <si>
    <t>CELLMN</t>
  </si>
  <si>
    <t>하루평균 휴대전화 사용시간: 분</t>
  </si>
  <si>
    <t>2005년 휴대전화 사용시간(통화 위주, 시간 합산)</t>
  </si>
  <si>
    <t>KEYBOARD</t>
  </si>
  <si>
    <t>(지난 1년) 4시간 이상 키보드 또는 마우스 조작</t>
  </si>
  <si>
    <t>하루 4시간 이상 키보드, 마우스 사용 → 화면시간 하한</t>
  </si>
  <si>
    <t>LTAC13</t>
  </si>
  <si>
    <t>여가활동 빈도13: 인터넷/컴퓨터</t>
  </si>
  <si>
    <t>여가 인터넷, 컴퓨터 이용 빈도</t>
  </si>
  <si>
    <t>INTUSENM</t>
  </si>
  <si>
    <t>지난 1년간 인터넷 사용 빈도</t>
  </si>
  <si>
    <t>인터넷 사용 빈도, 시간 아님</t>
  </si>
  <si>
    <t>온라인 쇼핑 빈도→쇼핑 채널</t>
  </si>
  <si>
    <t>취침시각(오전/오후) 구성요소</t>
  </si>
  <si>
    <t>YBEDHR</t>
  </si>
  <si>
    <t>어제 취침시간: 시</t>
  </si>
  <si>
    <t>취침시각(시) 구성요소</t>
  </si>
  <si>
    <t>YBEDMN</t>
  </si>
  <si>
    <t>어제 취침시간: 분</t>
  </si>
  <si>
    <t>취침시각(분) 구성요소</t>
  </si>
  <si>
    <t>YGETAMPM</t>
  </si>
  <si>
    <t>어제 기상시간: 오전/오후</t>
  </si>
  <si>
    <t>기상시각(오전/오후) 구성요소</t>
  </si>
  <si>
    <t>YGETHR</t>
  </si>
  <si>
    <t>어제 기상시간: 시</t>
  </si>
  <si>
    <t>기상시각(시) 구성요소</t>
  </si>
  <si>
    <t>YGETMN</t>
  </si>
  <si>
    <t>어제 기상시간: 분</t>
  </si>
  <si>
    <t>기상시각(분) 구성요소</t>
  </si>
  <si>
    <t>SLEEPHRS</t>
  </si>
  <si>
    <t>하루 수면 시간</t>
  </si>
  <si>
    <t>수면시간(취침, 기상 시각 아님)</t>
  </si>
  <si>
    <t>FREQSMOK</t>
  </si>
  <si>
    <t>흡연 정도</t>
  </si>
  <si>
    <t>FREQSM10</t>
  </si>
  <si>
    <t>담배를 피우는 정도</t>
  </si>
  <si>
    <t>흡연 정도 직접 측정</t>
  </si>
  <si>
    <t>흡연 여부, 정도</t>
  </si>
  <si>
    <t>TELLSMOK</t>
  </si>
  <si>
    <t>과도한 행동2: 담배 피우기</t>
  </si>
  <si>
    <t>과다흡연 지적받은 경험</t>
  </si>
  <si>
    <t>외향성 높으면 사회적 에너지 높음으로 가정</t>
  </si>
  <si>
    <t>내향, 조용함이면 사회적 에너지 낮음으로 가정</t>
  </si>
  <si>
    <t>NUMCNTCT</t>
  </si>
  <si>
    <t>하루 평균 접촉 사람 수</t>
  </si>
  <si>
    <t>하루 접촉 인원 수로 사회적 에너지 근사</t>
  </si>
  <si>
    <t>친구 만남 빈도를 사회적 에너지로</t>
  </si>
  <si>
    <t>LTTOGETH</t>
  </si>
  <si>
    <t>자유시간 활용 단독/공동 선호도</t>
  </si>
  <si>
    <t>자유시간 혼자 vs 함께 선호</t>
  </si>
  <si>
    <t>CONTACT</t>
  </si>
  <si>
    <t>TV 시청을 영상 시청시간으로 간주(×7 주간 환산)</t>
  </si>
  <si>
    <t>LTAC01</t>
  </si>
  <si>
    <t>여가활동 빈도1: TV, DVD, 비디오 보기</t>
  </si>
  <si>
    <t>TV, 비디오 시청 빈도를 영상 시청량으로</t>
  </si>
  <si>
    <t>음악, 영상 이용 빈도(시간 아님)</t>
  </si>
  <si>
    <t>정리정돈 못함 역코딩으로 깔끔함 근사</t>
  </si>
  <si>
    <t>HOUWK3</t>
  </si>
  <si>
    <t>집안일을 하는 빈도3: 청소</t>
  </si>
  <si>
    <t>청소 빈도→정리정돈 가정</t>
  </si>
  <si>
    <t>OVERNGHT</t>
  </si>
  <si>
    <t>지난 1년 외박일수</t>
  </si>
  <si>
    <t>연간 외박일수를 여행 빈도로</t>
  </si>
  <si>
    <t>항공여행 횟수만, 육로 여행 제외</t>
  </si>
  <si>
    <t>지난 1년 봉사, 자선단체 활동</t>
  </si>
  <si>
    <t>MEMB3</t>
  </si>
  <si>
    <t>조직/모임 가입 및 참여정도3: 사회봉사 클럽</t>
  </si>
  <si>
    <t>사회봉사 클럽 참여</t>
  </si>
  <si>
    <t>봉사단체 소속=자원봉사 활동으로 가정</t>
  </si>
  <si>
    <t>GRPPART4</t>
  </si>
  <si>
    <t>지역사회봉사 활동 또는 시민 모임이나 단체 참여도</t>
  </si>
  <si>
    <t>지역봉사, 시민모임 참여도</t>
  </si>
  <si>
    <t>지역사회 자원봉사 경험(영역별)</t>
  </si>
  <si>
    <t>스포츠, 문화 자원봉사 경험(영역별)</t>
  </si>
  <si>
    <t>취약계층 자원봉사 경험(영역별)</t>
  </si>
  <si>
    <t>전일제/시간제 구분으로 근무 형태 범주 근사</t>
  </si>
  <si>
    <t>WGWKHR</t>
  </si>
  <si>
    <t>응답자 (피고용시) 일주일 평균 근로시간</t>
  </si>
  <si>
    <t>주당 근로시간으로 근무량, 형태 추정</t>
  </si>
  <si>
    <t>SFPTFL</t>
  </si>
  <si>
    <t>응답자 (자영업시) 전일제, 시간제 구분</t>
  </si>
  <si>
    <t>2004,2005,2006,2007,2008,2009,2010,2011,2012,2013,2014,2016,2018,2021,2023,2025</t>
  </si>
  <si>
    <t>자영업 전일제/시간제로 근무 형태 근사</t>
  </si>
  <si>
    <t>SFWKHR</t>
  </si>
  <si>
    <t>응답자 (자영업시) 평균 근로시간</t>
  </si>
  <si>
    <t>자영업 근로시간으로 근무량, 형태 추정</t>
  </si>
  <si>
    <t>FULLPART</t>
  </si>
  <si>
    <t>선호하는 취업유형: 전일제와 시간제 중 선택</t>
  </si>
  <si>
    <t>선호 근무형태(전일/시간제)를 실제 형태로 가정</t>
  </si>
  <si>
    <t>신문 이용 여부로 미디어 구성 일부 추정</t>
  </si>
  <si>
    <t>국제뉴스 이용매체: 신문</t>
  </si>
  <si>
    <t>INTLNEW2</t>
  </si>
  <si>
    <t>국제뉴스를 접하는 수단2: 라디오</t>
  </si>
  <si>
    <t>국제뉴스 이용매체: 라디오</t>
  </si>
  <si>
    <t>INTLNEW3</t>
  </si>
  <si>
    <t>국제뉴스를 접하는 수단3: TV</t>
  </si>
  <si>
    <t>국제뉴스 이용매체: TV</t>
  </si>
  <si>
    <t>INTLNEW4</t>
  </si>
  <si>
    <t>국제뉴스를 접하는 수단4: 인터넷</t>
  </si>
  <si>
    <t>국제뉴스 이용매체: 인터넷</t>
  </si>
  <si>
    <t>매체별 접촉 조합으로 미디어 구성 추정</t>
  </si>
  <si>
    <t>MIPPOLWH</t>
  </si>
  <si>
    <t>주로 접하는 정치 뉴스 매체</t>
  </si>
  <si>
    <t>주 정치뉴스 매체(정치뉴스 한정)</t>
  </si>
  <si>
    <t>INTOTNEW</t>
  </si>
  <si>
    <t>온라인 정보 검색 행태2: 온라인에서 평소에 읽거나 보거나 듣는 뉴스와 다른 출처의 뉴스를 살펴본다</t>
  </si>
  <si>
    <t>평소와 다른 출처 뉴스 탐색</t>
  </si>
  <si>
    <t>SOCINEWS</t>
  </si>
  <si>
    <t>국제뉴스를 접하는 수단7: 사회관계망</t>
  </si>
  <si>
    <t>국제뉴스 이용매체: SNS</t>
  </si>
  <si>
    <t>상관 지시 복종(MFQ 권위 문항과 유사)</t>
  </si>
  <si>
    <t>권위에 대한 순종은 아이들이 배워야할 가장 중요한 덕목</t>
  </si>
  <si>
    <t>권위 순종 교육 문항, MFQ 권위 문항과 거의 동일</t>
  </si>
  <si>
    <t>OPPSEGOV</t>
  </si>
  <si>
    <t>시민 권리 중요성에 대한 인식6: 대정부 불복종운동 참가</t>
  </si>
  <si>
    <t>2004,2011,2014,2023</t>
  </si>
  <si>
    <t>대정부 불복종 권리 중시 역코딩</t>
  </si>
  <si>
    <t>아버지 권위 존중→권위 기반</t>
  </si>
  <si>
    <t>법질서 우선=권위 기반 중시</t>
  </si>
  <si>
    <t>AUTHORT7</t>
  </si>
  <si>
    <t>우리나라에 필요한 것은 질서정연한 국민</t>
  </si>
  <si>
    <t>권위주의 척도 문항</t>
  </si>
  <si>
    <t>LAWOBEY</t>
  </si>
  <si>
    <t>준법에 대한 의견</t>
  </si>
  <si>
    <t>예외 없는 법 준수=권위 존중</t>
  </si>
  <si>
    <t>LEADRALL</t>
  </si>
  <si>
    <t>위계 관계2: 능력 있는 지도자가 모든 일을 결정하는 것</t>
  </si>
  <si>
    <t>유능한 지도자 전권 지지</t>
  </si>
  <si>
    <t>CULTBIAS5</t>
  </si>
  <si>
    <t>인생관5: 요즈음 청소년들에게는 더 많은 훈육이 있어야만 한다고 생각한다</t>
  </si>
  <si>
    <t>청소년 훈육 강화 동의로 권위 기반 근사</t>
  </si>
  <si>
    <t>CULTBIAS6</t>
  </si>
  <si>
    <t>인생관6: 사람들은 권위에 너무 자주 도전하는 문제를 지닌다</t>
  </si>
  <si>
    <t>권위 도전 문제시 동의로 권위 기반 근사</t>
  </si>
  <si>
    <t>FILILOBE</t>
  </si>
  <si>
    <t>자식은 중요한 결정(예: 진로, 결혼)을 할 때 부모의 의견을 반영하여야 한다</t>
  </si>
  <si>
    <t>중대 결정 시 부모 의견 반영 동의로 권위 기반 근사</t>
  </si>
  <si>
    <t>POLDECID</t>
  </si>
  <si>
    <t>한국의 발전을 위해서 뛰어난 정치가가 나오면, 국민이 서로 논쟁을 벌이기보다 그 정치인에게 맡기는 것이 좋다</t>
  </si>
  <si>
    <t>뛰어난 지도자에게 위임 선호=권위 존중</t>
  </si>
  <si>
    <t>CNSRVTV8</t>
  </si>
  <si>
    <t>찬반의견8: 학교 체벌 허용</t>
  </si>
  <si>
    <t>체벌 허용=권위, 위계 중시로 가정</t>
  </si>
  <si>
    <t>AUTHORT1</t>
  </si>
  <si>
    <t>우리나라를 망쳐놓고 있는 극단주의를 제압할 수 있는 지도자 필요</t>
  </si>
  <si>
    <t>권위주의 척도 문항(강한 지도자)</t>
  </si>
  <si>
    <t>AUTHORT2</t>
  </si>
  <si>
    <t>정부에 비판적인 사람들은 국민을 쓸데없이 혼란</t>
  </si>
  <si>
    <t>권위주의 척도 문항(비판자 배척)</t>
  </si>
  <si>
    <t>AUTHORT3</t>
  </si>
  <si>
    <t>사회 혼란 유발자들과 싸우기 위해서라면 무력사용도 정당화</t>
  </si>
  <si>
    <t>권위주의 척도 문항(무력 정당화)</t>
  </si>
  <si>
    <t>AUTHORT6</t>
  </si>
  <si>
    <t>가치관과 법질서를 보존하기 위해서 문제집단 척결필요</t>
  </si>
  <si>
    <t>권위주의 척도 문항(문제집단 척결)</t>
  </si>
  <si>
    <t>CHDOBEYP</t>
  </si>
  <si>
    <t>자식은 가급적 자기 자신의 생각(뜻)보다 부모의 생각(뜻)을 따라야 한다</t>
  </si>
  <si>
    <t>자식의 부모 순종 동의로 권위 기반 근사</t>
  </si>
  <si>
    <t>타인 고통 민감성으로 배려 기반 근사</t>
  </si>
  <si>
    <t>이용당하는 사람을 보면 보호하고 싶은 생각이 든다</t>
  </si>
  <si>
    <t>약자 보호 욕구로 배려 기반 근사</t>
  </si>
  <si>
    <t>정부 비판 발언 보호=권력으로부터 자유 중시</t>
  </si>
  <si>
    <t>잘못되어도 내 나라 지지=집단 충성</t>
  </si>
  <si>
    <t>COMPFRND</t>
  </si>
  <si>
    <t>내집단 편향1: 사기업에서 사람을 뽑을 때 친척이나 친구에게 기회를 제공하는 것</t>
  </si>
  <si>
    <t>친척, 친구 우대→내집단 충성</t>
  </si>
  <si>
    <t>내집단 자부심</t>
  </si>
  <si>
    <t>혼외성교 비난=순수성 기반</t>
  </si>
  <si>
    <t>혼전성교 비난=순수성 기반</t>
  </si>
  <si>
    <t>동성성교 비난=순수성 기반</t>
  </si>
  <si>
    <t>재즈/블루스 묶음 문항</t>
  </si>
  <si>
    <t>서양 고전음악 호감도</t>
  </si>
  <si>
    <t>ASSGRP02</t>
  </si>
  <si>
    <t>문화동호회 활동 참여 여부2: 클래식 음악(오페라, 합창 포함)</t>
  </si>
  <si>
    <t>클래식 동호회 참여=클래식 선호 높음</t>
  </si>
  <si>
    <t>CULACT06</t>
  </si>
  <si>
    <t>지난해 문화활동 빈도6: 클래식 음악회 관람</t>
  </si>
  <si>
    <t>클래식 음악회 관람=클래식 선호 대리</t>
  </si>
  <si>
    <t>선호 장르가 클래식일 때 해당</t>
  </si>
  <si>
    <t>한국 전통음악→전통, 민속음악</t>
  </si>
  <si>
    <t>선호 장르가 힙합일 때 해당(범주 확인 필요)</t>
  </si>
  <si>
    <t>선호 장르가 재즈일 때 해당(범주 확인 필요)</t>
  </si>
  <si>
    <t>국내 대중음악 포함 가정</t>
  </si>
  <si>
    <t>선호 장르가 가요, 댄스일 때 해당(범주 확인 필요)</t>
  </si>
  <si>
    <t>대중음악 호감도</t>
  </si>
  <si>
    <t>선호 장르가 팝송일 때 해당(범주 확인 필요)</t>
  </si>
  <si>
    <t>록음악 호감도</t>
  </si>
  <si>
    <t>선호 장르가 록일 때 해당(범주 확인 필요)</t>
  </si>
  <si>
    <t>주관적 진보-보수 성향 → 정치 성향 범주</t>
  </si>
  <si>
    <t>정치적 좌파우파_Self-Identification</t>
  </si>
  <si>
    <t>2014,2023,2025</t>
  </si>
  <si>
    <t>좌우 이념 자기평가</t>
  </si>
  <si>
    <t>북한에 대한 인식</t>
  </si>
  <si>
    <t>한국 맥락에서 대북 인식=핵심 이념 균열</t>
  </si>
  <si>
    <t>재분배 지지를 경제적 진보로</t>
  </si>
  <si>
    <t>WELFSPD</t>
  </si>
  <si>
    <t>한국의 사회복지 지출 증감에 대한 의견</t>
  </si>
  <si>
    <t>2012,2013,2014</t>
  </si>
  <si>
    <t>복지지출 증감 의견으로 경제 이념 추정</t>
  </si>
  <si>
    <t>생계 어려움의 원인: 개인적인 노력이나 능력 때문 / 정치 사회적 제도 때문</t>
  </si>
  <si>
    <t>빈곤 원인 제도 귀인 → 진보 성향으로 가정</t>
  </si>
  <si>
    <t>INCMFAIR</t>
  </si>
  <si>
    <t>소득이 더 공평해져야 / 노력하는 만큼 소득에 차이가 나야</t>
  </si>
  <si>
    <t>2011,2014</t>
  </si>
  <si>
    <t>소득평등 vs 성과차등(WVS 좌우 문항)</t>
  </si>
  <si>
    <t>WELFFAIR</t>
  </si>
  <si>
    <t>정부가 복지에 더 책임을 져야 / 자신이 각자의 생계에 대해 책임을 져야</t>
  </si>
  <si>
    <t>정부책임 vs 개인책임(WVS 좌우 문항)</t>
  </si>
  <si>
    <t>FIRMFAIR</t>
  </si>
  <si>
    <t>사기업이 확대되어야 / 국영기업이 확대되어야</t>
  </si>
  <si>
    <t>사기업 vs 국영기업 확대(WVS 좌우 문항)</t>
  </si>
  <si>
    <t>GOVRES7</t>
  </si>
  <si>
    <t>정부의 책임 정도7: 빈부간 소득격차 완화</t>
  </si>
  <si>
    <t>재분배 책임 지지를 경제적 진보로</t>
  </si>
  <si>
    <t>기본소득 찬반으로 경제 이념 추정</t>
  </si>
  <si>
    <t>원자력발전10: 원자력 발전 정책에 대한 의견(A형)</t>
  </si>
  <si>
    <t>2018,2021,2023</t>
  </si>
  <si>
    <t>원전 정책 의견(한국에서 당파적 쟁점)</t>
  </si>
  <si>
    <t>NUKPLT10B</t>
  </si>
  <si>
    <t>원자력발전10: 원자력 발전 정책에 대한 의견(B형)</t>
  </si>
  <si>
    <t>CULTBIAS10</t>
  </si>
  <si>
    <t>인생관10: 못 사는 사람들을 돕기 위해 잘 사는 사람들에게는 더 많은 세금을 물려야 한다</t>
  </si>
  <si>
    <t>부자 증세 찬성 → 진보 성향으로 가정</t>
  </si>
  <si>
    <t>NATFARE</t>
  </si>
  <si>
    <t>사회복지 비용지출의 적정성 평가</t>
  </si>
  <si>
    <t>복지지출 태도로 경제 이념 추정</t>
  </si>
  <si>
    <t>NECLABOR</t>
  </si>
  <si>
    <t>한국사회에서 노동조합의 필요성</t>
  </si>
  <si>
    <t>노조 필요성 인식으로 경제 이념 추정</t>
  </si>
  <si>
    <t>GOVEQINC23</t>
  </si>
  <si>
    <t>정부의 빈부간 소득격차 축소 책임에 대한 의견</t>
  </si>
  <si>
    <t>SKPLCYNK</t>
  </si>
  <si>
    <t>대북 정책에 대한 의견: 북한 인권 개선과 북한과의 대화·교류 중 우선해야 할 정책</t>
  </si>
  <si>
    <t>대북정책 우선순위로 이념 추정</t>
  </si>
  <si>
    <t>NKORDIPL</t>
  </si>
  <si>
    <t>북한은 협력대상 혹은 위협대상</t>
  </si>
  <si>
    <t>북한 협력/위협 인식으로 이념 추정</t>
  </si>
  <si>
    <t>NATVSBUS</t>
  </si>
  <si>
    <t>국가의 기업 경제활동 간섭</t>
  </si>
  <si>
    <t>국가의 기업 개입 찬반 → 경제적 좌우 성향</t>
  </si>
  <si>
    <t>CNSRVTV1</t>
  </si>
  <si>
    <t>찬반의견1: 한미 동맹관계 강화</t>
  </si>
  <si>
    <t>한미동맹 강화 찬성 → 보수 성향으로 가정</t>
  </si>
  <si>
    <t>CNSRVTV2</t>
  </si>
  <si>
    <t>찬반의견2: 국가보안법 폐지</t>
  </si>
  <si>
    <t>국가보안법 폐지 찬성 → 진보 성향으로 가정</t>
  </si>
  <si>
    <t>CNSRVTV3</t>
  </si>
  <si>
    <t>찬반의견3: 개성공단 정상화</t>
  </si>
  <si>
    <t>개성공단 정상화 찬성 → 진보 성향으로 가정</t>
  </si>
  <si>
    <t>CNSRVTV4</t>
  </si>
  <si>
    <t>찬반의견4: 경재성장보다 복지</t>
  </si>
  <si>
    <t>성장보다 복지 찬성 → 진보 성향으로 가정</t>
  </si>
  <si>
    <t>CNSRVTV6</t>
  </si>
  <si>
    <t>찬반의견6: 고소득자 더 많은 세금 납부</t>
  </si>
  <si>
    <t>부유층 증세 찬반으로 경제 이념 추정</t>
  </si>
  <si>
    <t>CNSRVTV7</t>
  </si>
  <si>
    <t>찬반의견7: 공기업 민영화 추진</t>
  </si>
  <si>
    <t>민영화 찬반으로 경제 이념 추정</t>
  </si>
  <si>
    <t>체벌 허용 찬반으로 사회적 보수성 추정</t>
  </si>
  <si>
    <t>CNSRVTV9</t>
  </si>
  <si>
    <t>찬반의견9: 대체복무제 허용</t>
  </si>
  <si>
    <t>대체복무 찬반으로 사회 이념 추정</t>
  </si>
  <si>
    <t>사형제 폐지 찬반으로 사회 이념 추정</t>
  </si>
  <si>
    <t>TAXINCRE</t>
  </si>
  <si>
    <t>소득 격차를 줄이기 위한 부유층 증세 찬반</t>
  </si>
  <si>
    <t>CNSRVTV5</t>
  </si>
  <si>
    <t>찬반의견5: 비정규직 문제 기업에게 자율적</t>
  </si>
  <si>
    <t>경제 규제 쟁점 태도로 진보-보수 추정</t>
  </si>
  <si>
    <t>TAXWELF</t>
  </si>
  <si>
    <t>사회복지 확대를 위해 세금을 더 거둬야 한다</t>
  </si>
  <si>
    <t>복지 증세 찬반으로 경제 이념 추정</t>
  </si>
  <si>
    <t>GOVRGLT</t>
  </si>
  <si>
    <t>국가 기업활동 규제 인식</t>
  </si>
  <si>
    <t>기업 규제 인식으로 경제 이념 추정</t>
  </si>
  <si>
    <t>HOMOMAR</t>
  </si>
  <si>
    <t>동성애자 커플의 합법적 권리에 대한 입장</t>
  </si>
  <si>
    <t>동성커플 권리 태도로 사회 이념 추정</t>
  </si>
  <si>
    <t>PROHDISC</t>
  </si>
  <si>
    <t>차별을 금지하는 법안에 대한 입장</t>
  </si>
  <si>
    <t>차별금지법 태도로 사회 이념 추정</t>
  </si>
  <si>
    <t>INCMIDTX</t>
  </si>
  <si>
    <t>사회복지 확대를 위해 중산층에게 더 많은 세금을 걷어야 한다</t>
  </si>
  <si>
    <t>INCPUJOB</t>
  </si>
  <si>
    <t>일자리 문제 해결을 위해 정부는 공공부문 일자수를 크게 늘려야 한다</t>
  </si>
  <si>
    <t>공공일자리 확대 찬반으로 경제 이념 추정</t>
  </si>
  <si>
    <t>CHSTDJOB</t>
  </si>
  <si>
    <t>정부가 공공부문 비정규직 근로자를 정규직으로 전환</t>
  </si>
  <si>
    <t>정규직 전환 찬반으로 경제 이념 추정</t>
  </si>
  <si>
    <t>DESIRGOV</t>
  </si>
  <si>
    <t>공공의 이익 실현하기 위한 정부의 바람직한 형태</t>
  </si>
  <si>
    <t>큰정부/작은정부 선호로 이념 추정</t>
  </si>
  <si>
    <t>NUKEPLT6</t>
  </si>
  <si>
    <t>원자력발전6: 발전소 수를 늘려야 함</t>
  </si>
  <si>
    <t>원전 확대 찬반(한국에서 당파적 쟁점)</t>
  </si>
  <si>
    <t>MINIWAGE</t>
  </si>
  <si>
    <t>2018년 최저시급 인상률에 대한 의견</t>
  </si>
  <si>
    <t>최저임금 인상 태도로 경제 이념 추정</t>
  </si>
  <si>
    <t>집단 모임 빈도→집단 선호 가정</t>
  </si>
  <si>
    <t>귀농, 귀촌 의향이면 자연 선호로 가정</t>
  </si>
  <si>
    <t>NATURENJ</t>
  </si>
  <si>
    <t>자연을 즐기는지 정도</t>
  </si>
  <si>
    <t>자연을 즐기는 정도→자연 선호 쪽</t>
  </si>
  <si>
    <t>디지털 기기 이용 어려움=후기 수용자로 가정</t>
  </si>
  <si>
    <t>야외 여가활동 빈도→실외 선호 가정</t>
  </si>
  <si>
    <t>리더 역할 선호</t>
  </si>
  <si>
    <t>다양한 경험 선호=새로움 선호</t>
  </si>
  <si>
    <t>변화 싫어함이면 안정 선호로 가정</t>
  </si>
  <si>
    <t>안정 vs 변화 선호(역)</t>
  </si>
  <si>
    <t>전화 통화 빈도 높으면 통화 선호</t>
  </si>
  <si>
    <t>LTAC18PL</t>
  </si>
  <si>
    <t>여가활동의 즐거움9: 전화로 이야기하기</t>
  </si>
  <si>
    <t>전화 통화의 즐거움 정도</t>
  </si>
  <si>
    <t>CELLUSE</t>
  </si>
  <si>
    <t>휴대전화 주된 사용 용도</t>
  </si>
  <si>
    <t>주 용도가 통화/문자일 때 선호 추정</t>
  </si>
  <si>
    <t>종교집회 참석 빈도 → 종교성 수준</t>
  </si>
  <si>
    <t>신앙심 강도 → 종교성 수준(무종교는 최저)</t>
  </si>
  <si>
    <t>PRAYFREQ</t>
  </si>
  <si>
    <t>기도 빈도</t>
  </si>
  <si>
    <t>RELIGOUS</t>
  </si>
  <si>
    <t>자신이 얼마나 종교적인지에 대한 평가</t>
  </si>
  <si>
    <t>종교성 자기평가</t>
  </si>
  <si>
    <t>현재 신을 믿는지</t>
  </si>
  <si>
    <t>GODCONC</t>
  </si>
  <si>
    <t>신의 존재에 대한 믿음</t>
  </si>
  <si>
    <t>RELACT</t>
  </si>
  <si>
    <t>종교의식(예배 등) 외 종교모임/활동 참여 빈도</t>
  </si>
  <si>
    <t>종교의식 외 종교활동 빈도</t>
  </si>
  <si>
    <t>삶에서 종교 중요도는 표준 종교성 지표</t>
  </si>
  <si>
    <t>RELSCI2</t>
  </si>
  <si>
    <t>과학과 종교의 신뢰에 대한 의견</t>
  </si>
  <si>
    <t>2008,2018,2025</t>
  </si>
  <si>
    <t>과학보다 종교 신뢰 정도</t>
  </si>
  <si>
    <t>GRPRELIG</t>
  </si>
  <si>
    <t>사회단체 참여여부 및 활동정도4: 종교단체</t>
  </si>
  <si>
    <t>종교단체 참여, 활동 정도</t>
  </si>
  <si>
    <t>MEMB5</t>
  </si>
  <si>
    <t>조직/모임 가입 및 참여정도5: 종교집단</t>
  </si>
  <si>
    <t>종교집단 참여 정도</t>
  </si>
  <si>
    <t>RELVIST</t>
  </si>
  <si>
    <t>신성한 곳 방문 빈도</t>
  </si>
  <si>
    <t>신성한 장소 방문 빈도</t>
  </si>
  <si>
    <t>RELOBJT</t>
  </si>
  <si>
    <t>집에 성물을 모셔놓는지 여부</t>
  </si>
  <si>
    <t>집에 성물 모심 여부</t>
  </si>
  <si>
    <t>SPIRIT1</t>
  </si>
  <si>
    <t>종교관1: 모든 사람에게는 신이 존재</t>
  </si>
  <si>
    <t>모든 사람 안의 신 존재 믿음</t>
  </si>
  <si>
    <t>RELNW7</t>
  </si>
  <si>
    <t>믿음 정도7: 조상의 초자연적 힘</t>
  </si>
  <si>
    <t>조상의 초자연적 힘 믿음</t>
  </si>
  <si>
    <t>SPIRIT3</t>
  </si>
  <si>
    <t>종교관3: 신이 존재하기 때문에 삶이 유의미</t>
  </si>
  <si>
    <t>신 존재로 삶이 유의미</t>
  </si>
  <si>
    <t>RELNW2</t>
  </si>
  <si>
    <t>믿음 정도2: 천당(극락)</t>
  </si>
  <si>
    <t>천당(극락) 믿음</t>
  </si>
  <si>
    <t>RELNW1</t>
  </si>
  <si>
    <t>믿음 정도1: 사후세계</t>
  </si>
  <si>
    <t>사후세계 믿음</t>
  </si>
  <si>
    <t>RELNW3</t>
  </si>
  <si>
    <t>믿음 정도3: 지옥</t>
  </si>
  <si>
    <t>지옥 믿음</t>
  </si>
  <si>
    <t>RELNW4</t>
  </si>
  <si>
    <t>믿음 정도4: 종교적 기적</t>
  </si>
  <si>
    <t>종교적 기적 믿음</t>
  </si>
  <si>
    <t>VARELIG</t>
  </si>
  <si>
    <t>소속된 집단3: 종교집단</t>
  </si>
  <si>
    <t>종교단체 소속=적극적 종교활동으로 가정</t>
  </si>
  <si>
    <t>RELNW5</t>
  </si>
  <si>
    <t>믿음 정도5: 환생</t>
  </si>
  <si>
    <t>환생 믿음</t>
  </si>
  <si>
    <t>RELNW6</t>
  </si>
  <si>
    <t>믿음 정도6: 열반</t>
  </si>
  <si>
    <t>열반 믿음</t>
  </si>
  <si>
    <t>GRPPART3</t>
  </si>
  <si>
    <t>교회, 절 등 종교 모임이나 단체 참여도</t>
  </si>
  <si>
    <t>종교 모임 참여도</t>
  </si>
  <si>
    <t>PRAYHELP</t>
  </si>
  <si>
    <t>위급하거나 중대한 상황에서 기도 또는 기원을 해 본 적 여부</t>
  </si>
  <si>
    <t>위급 시 기도 경험으로 종교성 근사</t>
  </si>
  <si>
    <t>READBIBL</t>
  </si>
  <si>
    <t>지난 12개월 중에 종교행사 외 경전을 듣거나 읽은 경험</t>
  </si>
  <si>
    <t>경전 읽기 경험</t>
  </si>
  <si>
    <t>RELIGSPOS</t>
  </si>
  <si>
    <t>배우자 선택시 종교의 중요성</t>
  </si>
  <si>
    <t>배우자 선택 시 종교 중요성으로 종교성 근사</t>
  </si>
  <si>
    <t>모험적 삶 vs 안정적 삶 선호</t>
  </si>
  <si>
    <t>위험 감수 즐김(자기보고 성격문항)</t>
  </si>
  <si>
    <t>금융 영역 위험감수만</t>
  </si>
  <si>
    <t>TERROR</t>
  </si>
  <si>
    <t>밤길 귀가 중 범죄피해 가능성</t>
  </si>
  <si>
    <t>2013,2014,2016</t>
  </si>
  <si>
    <t>밤길 범죄피해 우려로 안전 민감도 근사</t>
  </si>
  <si>
    <t>HAZA1</t>
  </si>
  <si>
    <t>[응답자에 발생할 가능성] 자연재해 관련 위험1: 홍수 및 태풍</t>
  </si>
  <si>
    <t>개인 위험 지각 문항, 합산 지수로 사용</t>
  </si>
  <si>
    <t>HAZA2</t>
  </si>
  <si>
    <t>[응답자에 발생할 가능성] 자연재해 관련 위험2: 급격한 기후변동</t>
  </si>
  <si>
    <t>HAZA4</t>
  </si>
  <si>
    <t>[응답자에 발생할 가능성] 자연재해 관련 위험4: 지진 및 쓰나미</t>
  </si>
  <si>
    <t>HAZA6</t>
  </si>
  <si>
    <t>[응답자에 발생할 가능성] 건강 관련 위험2: 먹거리 위험</t>
  </si>
  <si>
    <t>HAZA7</t>
  </si>
  <si>
    <t>[응답자에 발생할 가능성] 건강 관련 위험3: 정신건강 위해요소</t>
  </si>
  <si>
    <t>HAZA8</t>
  </si>
  <si>
    <t>[응답자에 발생할 가능성] 건강 관련 위험4: 성인병</t>
  </si>
  <si>
    <t>HAZA13</t>
  </si>
  <si>
    <t>[응답자에 발생할 가능성] 사회생활 관련 위험1: 사생활 침해</t>
  </si>
  <si>
    <t>HAZA14</t>
  </si>
  <si>
    <t>[응답자에 발생할 가능성] 사회생활 관련 위험2: 폭력범죄</t>
  </si>
  <si>
    <t>HAZA15</t>
  </si>
  <si>
    <t>[응답자에 발생할 가능성] 사회생활 관련 위험3: 인적재난 및 산업재해</t>
  </si>
  <si>
    <t>HAZA3</t>
  </si>
  <si>
    <t>[응답자에 발생할 가능성] 자연재해 관련 위험3: 황사 및 가뭄</t>
  </si>
  <si>
    <t>HAZA5</t>
  </si>
  <si>
    <t>[응답자에 발생할 가능성] 건강 관련 위험1: 전염병</t>
  </si>
  <si>
    <t>HAZA16</t>
  </si>
  <si>
    <t>[응답자에 발생할 가능성] 사회생활 관련 위험4: 과학기술 및 정보통신 기술의 위험</t>
  </si>
  <si>
    <t>HAZA28</t>
  </si>
  <si>
    <t>[응답자에 발생할 가능성] 환경 관련 위험4: 방사성 폐기물의 저장 및 관리</t>
  </si>
  <si>
    <t>HAZA26</t>
  </si>
  <si>
    <t>[응답자에 발생할 가능성] 환경 관련 위험2: 환경오염</t>
  </si>
  <si>
    <t>FEAR</t>
  </si>
  <si>
    <t>집근처 범죄피해 우려지역 유무</t>
  </si>
  <si>
    <t>동네 밤길 두려운 지역 유무로 안전 민감도 근사</t>
  </si>
  <si>
    <t>PROPCRM</t>
  </si>
  <si>
    <t>재산범죄피해 가능성</t>
  </si>
  <si>
    <t>재산범죄 피해 우려로 안전 민감도 근사</t>
  </si>
  <si>
    <t>VIOLCRM</t>
  </si>
  <si>
    <t>폭력범죄피해 가능성</t>
  </si>
  <si>
    <t>폭력범죄 피해 우려로 안전 민감도 근사</t>
  </si>
  <si>
    <t>FEARCRM</t>
  </si>
  <si>
    <t>범죄피해 가능성</t>
  </si>
  <si>
    <t>범죄피해 가능성 인식으로 안전 민감도 근사</t>
  </si>
  <si>
    <t>코로나 시기 마스크 착용을 안전 민감도 지표로(맥락 한정)</t>
  </si>
  <si>
    <t>공공 안전 우선 선택을 안전 민감도로</t>
  </si>
  <si>
    <t>PVQ 성공 문항=성취</t>
  </si>
  <si>
    <t>슈와츠 가치 척도 4: 자신의 능력을 나타내는 것</t>
  </si>
  <si>
    <t>PVQ 능력 과시 문항=성취</t>
  </si>
  <si>
    <t>PVQ 친구에 충실 문항=박애</t>
  </si>
  <si>
    <t>슈와츠 가치 척도 12: 주변 사람들을 돕는 것</t>
  </si>
  <si>
    <t>PVQ 주변 돕기 문항=박애</t>
  </si>
  <si>
    <t>PEOPLE1</t>
  </si>
  <si>
    <t>사람들은 자기보다 불행한 사람을 도와야 한다</t>
  </si>
  <si>
    <t>타인 돕기 규범으로 박애 가치 근사</t>
  </si>
  <si>
    <t>PVQ 규칙준수 문항=순응</t>
  </si>
  <si>
    <t>슈와츠 가치 척도 16: 올바르게 행동하는 것</t>
  </si>
  <si>
    <t>PVQ 올바른 행동 문항=순응</t>
  </si>
  <si>
    <t>OBEYLAWS</t>
  </si>
  <si>
    <t>시민 덕목 중요성에 대한 인식3: 법과 규칙 준수</t>
  </si>
  <si>
    <t>법규 준수 중요도를 순응 가치로</t>
  </si>
  <si>
    <t>질서, 순응 강조=동조 가치 대리</t>
  </si>
  <si>
    <t>법 준수 vs 양심 선택 중 준법</t>
  </si>
  <si>
    <t>불평 억제→순응</t>
  </si>
  <si>
    <t>ACCMAJTY</t>
  </si>
  <si>
    <t>다수에 동조1: 생각이 다르더라도 대다수 사람들의 생각에 반대하지 않는 것</t>
  </si>
  <si>
    <t>다수 의견에 동조</t>
  </si>
  <si>
    <t>순종 강조=동조 가치 대리</t>
  </si>
  <si>
    <t>PVQ 좋은 시간 문항=쾌락</t>
  </si>
  <si>
    <t>슈와츠 가치 척도 22: 자신에게 즐거움을 주는 것</t>
  </si>
  <si>
    <t>PVQ 즐거움 문항=쾌락</t>
  </si>
  <si>
    <t>LEISUREI</t>
  </si>
  <si>
    <t>삶에서 여가를 즐기는 것의 중요한 정도</t>
  </si>
  <si>
    <t>여가 향유 중요도로 쾌락 가치 근사</t>
  </si>
  <si>
    <t>PVQ 부유함 문항=권력</t>
  </si>
  <si>
    <t>PVQ 존경받기 문항=권력</t>
  </si>
  <si>
    <t>권력 중요도 단일문항으로 Schwartz 권력 근사</t>
  </si>
  <si>
    <t>PVQ 정부 안전보장 문항=안전</t>
  </si>
  <si>
    <t>PVQ 안전한 환경 문항=안전</t>
  </si>
  <si>
    <t>PVQ 스스로 결정 문항=자기주도</t>
  </si>
  <si>
    <t>PVQ 창의성 문항=자기주도</t>
  </si>
  <si>
    <t>PVQ 모험 문항=자극</t>
  </si>
  <si>
    <t>PVQ 다양한 경험 문항=자극</t>
  </si>
  <si>
    <t>PVQ 겸손 문항=전통</t>
  </si>
  <si>
    <t>PVQ 전통관습 문항=전통</t>
  </si>
  <si>
    <t>유교적인 삶 여부</t>
  </si>
  <si>
    <t>유교적 삶 실천으로 Schwartz 전통 근사</t>
  </si>
  <si>
    <t>PVQ 다른 의견 경청 문항=보편주의</t>
  </si>
  <si>
    <t>PVQ 평등대우 문항=보편주의</t>
  </si>
  <si>
    <t>슈와츠 가치 척도 19: 자연환경을 돌보는 것</t>
  </si>
  <si>
    <t>PVQ 자연환경 돌봄 문항=보편주의</t>
  </si>
  <si>
    <t>HELPWRLD</t>
  </si>
  <si>
    <t>시민 덕목 중요성에 대한 인식9: 국외 빈곤층 원조</t>
  </si>
  <si>
    <t>해외 빈곤층 돕기 중요도</t>
  </si>
  <si>
    <t>GROCIVIL</t>
  </si>
  <si>
    <t>세계시민에 가깝게 느끼는 정도</t>
  </si>
  <si>
    <t>세계시민 정체성=보편주의 대리</t>
  </si>
  <si>
    <t>CULRELAT</t>
  </si>
  <si>
    <t>다문화주의에 대한 의견</t>
  </si>
  <si>
    <t>다문화 수용=관용, 보편주의 대리</t>
  </si>
  <si>
    <t>FEELCTZ</t>
  </si>
  <si>
    <t>국제개방에 대한 의견5: 특정한 나라의 국민이 아닌 세계시민으로 인식</t>
  </si>
  <si>
    <t>세계시민 정체성을 보편주의로</t>
  </si>
  <si>
    <t>CNSPRESP</t>
  </si>
  <si>
    <t>윤리적 소비행동4: 사회적 책임을 다하기 위해 노력하는 기업의 제품을 찾아서 구매한다</t>
  </si>
  <si>
    <t>사회적 책임 기업 제품 구매</t>
  </si>
  <si>
    <t>CNSPIMPT</t>
  </si>
  <si>
    <t>윤리적 소비행동2: 나의 소비생활이 사회에 미치는 영향을 고려해야 한다고 생각한다</t>
  </si>
  <si>
    <t>소비의 사회적 영향 고려</t>
  </si>
  <si>
    <t>사회기여 문항(WVS 보편주의/박애 혼합)</t>
  </si>
  <si>
    <t>IMMIGWAY</t>
  </si>
  <si>
    <t>이민자 한국사회 적응 방식</t>
  </si>
  <si>
    <t>다문화 공존 vs 동화 선호=보편주의 대리</t>
  </si>
  <si>
    <t>RFLEXHRS</t>
  </si>
  <si>
    <t>직업가치8: 시간이나 날짜를 스스로 결정할 수 있는 일</t>
  </si>
  <si>
    <t>근무시간 자율 결정 중요도</t>
  </si>
  <si>
    <t>자기결정 중시를 자율성 욕구로</t>
  </si>
  <si>
    <t>대인관계 만족을 관계성 충족으로</t>
  </si>
  <si>
    <t>FAMSATIS</t>
  </si>
  <si>
    <t>가족관계 만족도</t>
  </si>
  <si>
    <t>가족관계 만족을 관계성 충족으로</t>
  </si>
  <si>
    <t>FRIENDS</t>
  </si>
  <si>
    <t>인생에서 친구의 중요도 평가</t>
  </si>
  <si>
    <t>친구 중요도로 관계 욕구 근사</t>
  </si>
  <si>
    <t>LTFEEL2</t>
  </si>
  <si>
    <t>여가시간 느낌2: 조급함</t>
  </si>
  <si>
    <t>여가시간에도 조급함</t>
  </si>
  <si>
    <t>ARTOBS01</t>
  </si>
  <si>
    <t>문화활동 참여 장애요인1: 시간 부족</t>
  </si>
  <si>
    <t>시간 부족을 장애로 꼽음=시간 압박 대리</t>
  </si>
  <si>
    <t>LTACLMT5</t>
  </si>
  <si>
    <t>여가활동 제약요인5: 시간 부족</t>
  </si>
  <si>
    <t>시간 부족으로 여가 제약</t>
  </si>
  <si>
    <t>삶에 여유 없음 경험 빈도를 시간압박으로</t>
  </si>
  <si>
    <t>서명 참여를 행동주의 관심으로</t>
  </si>
  <si>
    <t>불매운동 참여를 행동주의 관심으로</t>
  </si>
  <si>
    <t>시위 참가를 행동주의 관심으로</t>
  </si>
  <si>
    <t>집회 참가를 행동주의 관심으로</t>
  </si>
  <si>
    <t>GRNGROUP</t>
  </si>
  <si>
    <t>환경 보전이나 보호가 주된 목적인 단체에 가입 여부</t>
  </si>
  <si>
    <t>환경단체 가입을 행동주의로</t>
  </si>
  <si>
    <t>GRNSIGN</t>
  </si>
  <si>
    <t>지난 5년간 환경문제에 대한 청원서에 서명한 경험</t>
  </si>
  <si>
    <t>환경 청원 서명을 행동주의로</t>
  </si>
  <si>
    <t>GRNDEMO</t>
  </si>
  <si>
    <t>지난 5년간 환경문제에 대한 집회나 시위에 참가한 경험</t>
  </si>
  <si>
    <t>환경 집회, 시위 참여→행동주의</t>
  </si>
  <si>
    <t>MEMB4</t>
  </si>
  <si>
    <t>조직/모임 가입 및 참여정도4: 시민사회단체, 소비자협동조합</t>
  </si>
  <si>
    <t>시민사회단체 참여</t>
  </si>
  <si>
    <t>온라인 집단행동을 행동주의 관심으로</t>
  </si>
  <si>
    <t>시민단체 후원=행동주의 관여</t>
  </si>
  <si>
    <t>거리시위 참여=행동주의 관여</t>
  </si>
  <si>
    <t>HRCIVL3</t>
  </si>
  <si>
    <t>인권신장 위한 집단행동 참여3: 인터넷에 글 게시</t>
  </si>
  <si>
    <t>인터넷 게시 참여=온라인 행동주의</t>
  </si>
  <si>
    <t>서명운동 참여=행동주의 관여</t>
  </si>
  <si>
    <t>정치 이슈 활동→행동주의</t>
  </si>
  <si>
    <t>GRPCIVIL</t>
  </si>
  <si>
    <t>사회단체 참여여부 및 활동정도2: 시민운동단체</t>
  </si>
  <si>
    <t>시민운동단체 참여, 활동 정도</t>
  </si>
  <si>
    <t>시위 참가→행동주의</t>
  </si>
  <si>
    <t>청원 참여→행동주의</t>
  </si>
  <si>
    <t>시위 조직→적극적 행동주의</t>
  </si>
  <si>
    <t>JOINDONF</t>
  </si>
  <si>
    <t>지난 1년간 온·오프라인 정치 참여 경험5: 사회적 이슈에 관여하는 단체에 속하거나 가입하기</t>
  </si>
  <si>
    <t>사회이슈 단체 가입</t>
  </si>
  <si>
    <t>시위 참여 경험을 행동주의 관심으로 가정</t>
  </si>
  <si>
    <t>일본 애니 시청빈도→관심도</t>
  </si>
  <si>
    <t>사주 믿음을 점성술 관심으로</t>
  </si>
  <si>
    <t>MYTH218</t>
  </si>
  <si>
    <t>미신에 대한 의견2: 점쟁이는 미래 예측 가능</t>
  </si>
  <si>
    <t>점술 믿음을 점성술 관심으로</t>
  </si>
  <si>
    <t>DAYCHOOS</t>
  </si>
  <si>
    <t>특별한 날을 정할 때 길흉일 고려</t>
  </si>
  <si>
    <t>길흉일 고려→역술 관심</t>
  </si>
  <si>
    <t>MYTH5</t>
  </si>
  <si>
    <t>MYTH2</t>
  </si>
  <si>
    <t>MYTH4</t>
  </si>
  <si>
    <t>미신에 대한 의견4: 태어난 해의 별자리가 인생에 영향</t>
  </si>
  <si>
    <t>띠, 별자리 영향 믿음</t>
  </si>
  <si>
    <t>CHLDNAME</t>
  </si>
  <si>
    <t>(자녀가 있다면) 자녀이름 작명시 사주팔자를 고려하거나 작명소를 이용했는지 여부</t>
  </si>
  <si>
    <t>사주 작명→사주, 역술 신뢰</t>
  </si>
  <si>
    <t>카드, 보드게임 빈도(화투 포함)</t>
  </si>
  <si>
    <t>만화 동호회 참여=만화 관심 높음</t>
  </si>
  <si>
    <t>무용 동호회 참여=무용 관심 높음</t>
  </si>
  <si>
    <t>CULACT09</t>
  </si>
  <si>
    <t>지난해 문화활동 빈도9: 발레나 서양무용 공연 관람</t>
  </si>
  <si>
    <t>무용 공연 관람 빈도=무용 관심 대리</t>
  </si>
  <si>
    <t>자영업 선호를 창업 관심으로</t>
  </si>
  <si>
    <t>환경 문제에 대한 관심, 걱정 정도</t>
  </si>
  <si>
    <t>환경단체 가입 여부</t>
  </si>
  <si>
    <t>환경 청원 서명 경험</t>
  </si>
  <si>
    <t>환경단체 기부→환경 관심 지표</t>
  </si>
  <si>
    <t>환경 시위 참여→환경 관심 지표</t>
  </si>
  <si>
    <t>KNOWSOL</t>
  </si>
  <si>
    <t>환경문제들의 해결 방법에 대한 지식</t>
  </si>
  <si>
    <t>환경문제 해결법 지식 자기평가</t>
  </si>
  <si>
    <t>KNWCAUSE</t>
  </si>
  <si>
    <t>환경문제들의 원인에 대한 지식</t>
  </si>
  <si>
    <t>환경문제 원인 지식 자기평가</t>
  </si>
  <si>
    <t>CLIMATEC</t>
  </si>
  <si>
    <t>기후 변화에 대한 태도</t>
  </si>
  <si>
    <t>기후변화 우려 정도→환경 관심</t>
  </si>
  <si>
    <t>영화 동호회 참여=영화 관심 높음</t>
  </si>
  <si>
    <t>LTAC02</t>
  </si>
  <si>
    <t>여가활동 빈도2: 영화 보러 가기</t>
  </si>
  <si>
    <t>극장 영화 관람 빈도</t>
  </si>
  <si>
    <t>CULACT02</t>
  </si>
  <si>
    <t>지난해 문화활동 빈도2: 영화나 애니메이션 관람</t>
  </si>
  <si>
    <t>영화 관람 빈도=영화 관심 대리</t>
  </si>
  <si>
    <t>CULFAV1</t>
  </si>
  <si>
    <t>가장 좋아하는 문화활동</t>
  </si>
  <si>
    <t>가장 좋아하는 문화활동이 영화일 때 관심 높음</t>
  </si>
  <si>
    <t>운동의 즐거움 정도</t>
  </si>
  <si>
    <t>게임 빈도=게임 관심 대리</t>
  </si>
  <si>
    <t>가장 좋아하는 문화활동이 게임일 때 관심 높음</t>
  </si>
  <si>
    <t>게임 이용 빈도→관심 가정</t>
  </si>
  <si>
    <t>박물관, 문화재 동호회 참여=역사 관심</t>
  </si>
  <si>
    <t>CULACT11</t>
  </si>
  <si>
    <t>지난해 문화활동 빈도11: 박물관이나 문화재 관람</t>
  </si>
  <si>
    <t>박물관, 문화재 관람 빈도=역사 관심 대리</t>
  </si>
  <si>
    <t>집 수리 빈도→DIY 관심 가정</t>
  </si>
  <si>
    <t>독서 동호회 참여=문학 관심 높음</t>
  </si>
  <si>
    <t>LTAC04PL</t>
  </si>
  <si>
    <t>여가활동의 즐거움1: 독서하기</t>
  </si>
  <si>
    <t>독서의 즐거움 정도</t>
  </si>
  <si>
    <t>대중음악 콘서트 관람 빈도=라이브 공연 관심</t>
  </si>
  <si>
    <t>문화행사(공연 포함) 참가 빈도</t>
  </si>
  <si>
    <t>가장 좋아하는 활동이 콘서트일 때 관심 높음</t>
  </si>
  <si>
    <t>음악회 관람 빈도=공연 관심 대리</t>
  </si>
  <si>
    <t>대중음악 동호회, 팬클럽 참여=음악 관심 높음</t>
  </si>
  <si>
    <t>청취 빈도=음악 관심 대리</t>
  </si>
  <si>
    <t>가장 좋아하는 문화활동이 음악일 때 관심 높음</t>
  </si>
  <si>
    <t>사진 동호회 참여=사진 관심 높음</t>
  </si>
  <si>
    <t>정치 관심도</t>
  </si>
  <si>
    <t>정치 대화 빈도를 정치 관심으로</t>
  </si>
  <si>
    <t>INTLAFF</t>
  </si>
  <si>
    <t>국제문제 논의 빈도</t>
  </si>
  <si>
    <t>국제문제 논의 빈도→시사 관심</t>
  </si>
  <si>
    <t>가장 많이 보는 지면이 정치일 때 관심 높음</t>
  </si>
  <si>
    <t>정치뉴스 접촉=정치 관심 대리</t>
  </si>
  <si>
    <t>NEWSKND0</t>
  </si>
  <si>
    <t>가장 많이 보는 신문 지면 (2005년)</t>
  </si>
  <si>
    <t>SNS 사용시간=소셜미디어 관여 강도 대리</t>
  </si>
  <si>
    <t>SNS 이용 빈도=소셜미디어 관여 대리</t>
  </si>
  <si>
    <t>ITUSE06</t>
  </si>
  <si>
    <t>인터넷 관련 서비스 이용여부6: 개인홈피/미니홈피/블로그</t>
  </si>
  <si>
    <t>미니홈피, 블로그 이용=당대 SNS 이용으로 가정</t>
  </si>
  <si>
    <t>SNS</t>
  </si>
  <si>
    <t>SNS 사용 여부</t>
  </si>
  <si>
    <t>SNS 사용 여부=소셜미디어 관여 대리</t>
  </si>
  <si>
    <t>USEPHOTO</t>
  </si>
  <si>
    <t>인터넷 활용 목적별 사용 빈도2: 사진·동영상 공유 및 게시</t>
  </si>
  <si>
    <t>사진, 영상 공유, 게시 빈도→SNS 이용</t>
  </si>
  <si>
    <t>영적, 초자연적인 것에 대한 관심</t>
  </si>
  <si>
    <t>SPIRIT6</t>
  </si>
  <si>
    <t>종교관6: 종교조직이나 종교의식 없이 나만의 방법으로 신과 연결</t>
  </si>
  <si>
    <t>제도 종교 밖 개인적 영성</t>
  </si>
  <si>
    <t>HAVECHRM</t>
  </si>
  <si>
    <t>행운이나 불운에 대한 부적 지니는지 여부</t>
  </si>
  <si>
    <t>부적 소지→민간신앙</t>
  </si>
  <si>
    <t>WISHPLAC</t>
  </si>
  <si>
    <t>지난 1년간 소원을 빌기 위해 특별한 곳 방문 빈도</t>
  </si>
  <si>
    <t>기원 장소 방문→민간신앙</t>
  </si>
  <si>
    <t>가장 많이 보는 지면이 스포츠일 때 관심 높음</t>
  </si>
  <si>
    <t>ASSGRP14</t>
  </si>
  <si>
    <t>문화동호회 활동 참여 여부14: 스포츠</t>
  </si>
  <si>
    <t>스포츠 동호회 참여=스포츠 관심 높음</t>
  </si>
  <si>
    <t>LTAC11</t>
  </si>
  <si>
    <t>여가활동 빈도11: 운동경기 관람하기</t>
  </si>
  <si>
    <t>운동경기 관람 빈도</t>
  </si>
  <si>
    <t>TVSPORT1</t>
  </si>
  <si>
    <t>TV에서 가장 자주 보는 스포츠</t>
  </si>
  <si>
    <t>TV 시청 종목을 sport_* 개별 속성에 매핑 가능</t>
  </si>
  <si>
    <t>SPORTS1</t>
  </si>
  <si>
    <t>가장 자주 하는 스포츠</t>
  </si>
  <si>
    <t>주로 하는 종목을 sport_* 개별 속성에 매핑 가능</t>
  </si>
  <si>
    <t>TVSPORT2</t>
  </si>
  <si>
    <t>TV에서 두 번째로 자주 보는 스포츠</t>
  </si>
  <si>
    <t>재활용 실천을 지속가능성 관심으로</t>
  </si>
  <si>
    <t>BYELESEN</t>
  </si>
  <si>
    <t>친환경 구매행동1: 가급적이면 환경에 나쁜 영향을 덜 미치는 제품을 구매한다</t>
  </si>
  <si>
    <t>친환경 구매를 지속가능성 관심으로</t>
  </si>
  <si>
    <t>뮤지컬 동호회 참여=공연 관심 높음</t>
  </si>
  <si>
    <t>ASSGRP07</t>
  </si>
  <si>
    <t>문화동호회 활동 참여 여부7: 연극</t>
  </si>
  <si>
    <t>연극 동호회 참여=연극 관심 높음</t>
  </si>
  <si>
    <t>CULACT07</t>
  </si>
  <si>
    <t>지난해 문화활동 빈도7: 뮤지컬 공연 관람</t>
  </si>
  <si>
    <t>뮤지컬 관람 빈도=공연예술 관심 대리</t>
  </si>
  <si>
    <t>CULACT05</t>
  </si>
  <si>
    <t>지난해 문화활동 빈도5: 연극 공연 관람</t>
  </si>
  <si>
    <t>연극 관람 빈도=연극 관심 대리</t>
  </si>
  <si>
    <t>가장 좋아하는 활동이 연극, 뮤지컬일 때 관심 높음</t>
  </si>
  <si>
    <t>TVKIND</t>
  </si>
  <si>
    <t>가장 많이 보는 TV 프로그램</t>
  </si>
  <si>
    <t>2003,2005,2008</t>
  </si>
  <si>
    <t>가장 많이 보는 프로그램이 드라마일 때 관심 높음</t>
  </si>
  <si>
    <t>한국 TV 드라마 시청빈도만</t>
  </si>
  <si>
    <t>ASSGRP12</t>
  </si>
  <si>
    <t>문화동호회 활동 참여 여부12: TV드라마</t>
  </si>
  <si>
    <t>드라마 동호회 참여=드라마 관심 높음</t>
  </si>
  <si>
    <t>TVFAV1</t>
  </si>
  <si>
    <t>가장 선호하는 TV 프로그램</t>
  </si>
  <si>
    <t>선호 프로그램이 드라마일 때 관심 높음</t>
  </si>
  <si>
    <t>LTAC01PL</t>
  </si>
  <si>
    <t>여가활동의 즐거움4: TV, DVD, 비디오 보기</t>
  </si>
  <si>
    <t>TV, 비디오 시청 즐거움</t>
  </si>
  <si>
    <t>미술 동호회 참여=미술 관심 높음</t>
  </si>
  <si>
    <t>CULACT10</t>
  </si>
  <si>
    <t>지난해 문화활동 빈도10: 미술관이나 미술전시회 관람</t>
  </si>
  <si>
    <t>미술관, 전시 관람 빈도=미술 관심 대리</t>
  </si>
  <si>
    <t>가장 좋아하는 활동이 미술전시일 때 관심 높음</t>
  </si>
  <si>
    <t>봉사 참여→관심 가정</t>
  </si>
  <si>
    <t>운동 목적이 경쟁인 정도</t>
  </si>
  <si>
    <t>가치 중요도를 창의성 성향 대리로</t>
  </si>
  <si>
    <t>공감적 관심 문항 → 공감 수준</t>
  </si>
  <si>
    <t>이용당하는 사람 보호 욕구(IRI 공감적 관심)</t>
  </si>
  <si>
    <t>타인 필요에 주의</t>
  </si>
  <si>
    <t>자선 기부 성향으로 관대함 근사</t>
  </si>
  <si>
    <t>LENTTO</t>
  </si>
  <si>
    <t>큰 돈 빌려준 빈도</t>
  </si>
  <si>
    <t>고액의 금전 빌려준 빈도로 관대함 근사</t>
  </si>
  <si>
    <t>LOT-R 낙관성 문항(2,4,5 역코딩) 합산</t>
  </si>
  <si>
    <t>LOTR5</t>
  </si>
  <si>
    <t>낙관성5: 좋은 일이 생길거라고 기대하지 않음</t>
  </si>
  <si>
    <t>LOTR3</t>
  </si>
  <si>
    <t>낙관성3: 미래에 대해 낙관적</t>
  </si>
  <si>
    <t>LOTR4</t>
  </si>
  <si>
    <t>낙관성4: 뜻대로 일 진행될거라고 기대하지 않음</t>
  </si>
  <si>
    <t>LOTR1</t>
  </si>
  <si>
    <t>낙관성1: 불확실한 상황에서 최선의 결과 기대</t>
  </si>
  <si>
    <t>LOTR2</t>
  </si>
  <si>
    <t>낙관성2: 나쁜 일 가능성 있을때는 나쁜 일</t>
  </si>
  <si>
    <t>LOTR323</t>
  </si>
  <si>
    <t>미래에 대한 낙관적 태도 여부</t>
  </si>
  <si>
    <t>미래 낙관(LOT-R 문항)</t>
  </si>
  <si>
    <t>HOPE1</t>
  </si>
  <si>
    <t>삶에 대한 태도1: 곤경탈출방법 다수 생각 가능</t>
  </si>
  <si>
    <t>Snyder 희망척도 문항 합산 → 희망 수준</t>
  </si>
  <si>
    <t>HOPE3</t>
  </si>
  <si>
    <t>삶에 대한 태도3: 문제 피해갈 일 많이 있음</t>
  </si>
  <si>
    <t>HOPE5</t>
  </si>
  <si>
    <t>삶에 대한 태도5: 목표달성방법 다수 생각 가능</t>
  </si>
  <si>
    <t>절망감(역코딩)</t>
  </si>
  <si>
    <t>목표 달성 기대(역)</t>
  </si>
  <si>
    <t>타인 배려 행동</t>
  </si>
  <si>
    <t>리더 역할 선호→리더십 성향</t>
  </si>
  <si>
    <t>충실 가치를 충성 성향으로</t>
  </si>
  <si>
    <t>RFULF2</t>
  </si>
  <si>
    <t>회사에 대한 직원의 의무 이행2: 충성심</t>
  </si>
  <si>
    <t>회사 충성 의무 이행 자기평가(직장 한정)</t>
  </si>
  <si>
    <t>OTHREASN</t>
  </si>
  <si>
    <t>시민 덕목 중요성에 대한 인식6: 다른 의견 이해 노력</t>
  </si>
  <si>
    <t>다른 의견 이해 노력 중요도</t>
  </si>
  <si>
    <t>타인 의견 경청 중시를 개방성으로</t>
  </si>
  <si>
    <t>OPOSWRNG</t>
  </si>
  <si>
    <t>반대 의견 수용도</t>
  </si>
  <si>
    <t>반대 의견 수용도로 개방적 사고 근사</t>
  </si>
  <si>
    <t>다양한 관점 탐색 성향</t>
  </si>
  <si>
    <t>INTPLDIS</t>
  </si>
  <si>
    <t>온라인 정보 검색 행태1: 온라인에서 동의하지 않는 내용을 읽거나 보고 듣는다</t>
  </si>
  <si>
    <t>반대 의견 콘텐츠 접촉 빈도</t>
  </si>
  <si>
    <t>INTCONFM</t>
  </si>
  <si>
    <t>온라인 정보 검색 행태3: 알게 된 정보를 확인하기 위해 온라인에서 다른 출처를 검색한다</t>
  </si>
  <si>
    <t>정보 교차검증→판단력, 개방성</t>
  </si>
  <si>
    <t>결과 늦어도 계속 노력=끈기</t>
  </si>
  <si>
    <t>OUTCOME</t>
  </si>
  <si>
    <t>학교생활3: 시간 안에 결과가 나타나지 않은 일에도 학업 성과를 내기 위해 노력</t>
  </si>
  <si>
    <t>성과 늦어도 학업 노력(회고)</t>
  </si>
  <si>
    <t>감정 통제 어려움 역코딩으로 자기조절 근사</t>
  </si>
  <si>
    <t>STDCNTRL</t>
  </si>
  <si>
    <t>학교생활6: 학업에 대해 스스로 잘 통제할 수 있다고 느낌</t>
  </si>
  <si>
    <t>학업 자기통제감(회고)</t>
  </si>
  <si>
    <t>감정 통제 곤란 역코딩으로 자기조절 근사</t>
  </si>
  <si>
    <t>행동 통제 상실 역코딩으로 자기조절 근사</t>
  </si>
  <si>
    <t>인생 목적 없음 역코딩</t>
  </si>
  <si>
    <t>나만의 방법으로 신과 연결</t>
  </si>
  <si>
    <t>영성 관심을 영성 성향으로</t>
  </si>
  <si>
    <t>RSNTOLIV</t>
  </si>
  <si>
    <t>나는 삶의 목적, 즉 살아야 할 이유를 찾을 수 있다고 믿는다</t>
  </si>
  <si>
    <t>삶의 목적 신념으로 VIA 영성(의미) 근사</t>
  </si>
  <si>
    <t>DEATH1</t>
  </si>
  <si>
    <t>나는 사람이 죽으면 어떤 형태로든 다시 태어나고 그러한 과정이 반복된다고 믿는다</t>
  </si>
  <si>
    <t>윤회 신념으로 영성 근사</t>
  </si>
  <si>
    <t>DEATH2</t>
  </si>
  <si>
    <t>나는 죽으면 더 좋은 다른 세계로 간다고 믿는다</t>
  </si>
  <si>
    <t>사후 세계 신념으로 영성 근사</t>
  </si>
  <si>
    <t>동료와 업무 공유, 전수=협동성(직장 한정)</t>
  </si>
  <si>
    <t>한국 사회 신뢰 수준 → 신뢰 범주</t>
  </si>
  <si>
    <t>일반인 신뢰(대부분 믿을 수 있다) → 일반 신뢰</t>
  </si>
  <si>
    <t>믿을 수 있는 사람 극소수 역코딩</t>
  </si>
  <si>
    <t>타인이 나를 이용할 것 역코딩</t>
  </si>
  <si>
    <t>RELIAB03</t>
  </si>
  <si>
    <t>사회에 대한 신뢰 (2003년)</t>
  </si>
  <si>
    <t>사회 신뢰 수준 → 신뢰 범주</t>
  </si>
  <si>
    <t>일반 대인신뢰 10점 척도</t>
  </si>
  <si>
    <t>CONMEDIC</t>
  </si>
  <si>
    <t>기관 지도층에 대한 신뢰7: 의료계</t>
  </si>
  <si>
    <t>기관 신뢰 문항; 여러 기관 평균으로 제도 신뢰 근사</t>
  </si>
  <si>
    <t>CONTV</t>
  </si>
  <si>
    <t>기관 지도층에 대한 신뢰6: TV 방송국</t>
  </si>
  <si>
    <t>CONEDUC</t>
  </si>
  <si>
    <t>기관 지도층에 대한 신뢰3: 교육계</t>
  </si>
  <si>
    <t>CONFINAN</t>
  </si>
  <si>
    <t>기관 지도층에 대한 신뢰14: 금융기관</t>
  </si>
  <si>
    <t>기관 지도층에 대한 신뢰1: 대기업</t>
  </si>
  <si>
    <t>CONARMY</t>
  </si>
  <si>
    <t>기관 지도층에 대한 신뢰13: 군대</t>
  </si>
  <si>
    <t>CONLEGIS</t>
  </si>
  <si>
    <t>기관 지도층에 대한 신뢰10: 국회</t>
  </si>
  <si>
    <t>CONPRESS</t>
  </si>
  <si>
    <t>기관 지도층에 대한 신뢰5: 신문사</t>
  </si>
  <si>
    <t>CONJUDGE</t>
  </si>
  <si>
    <t>기관 지도층에 대한 신뢰11: 대법원</t>
  </si>
  <si>
    <t>CONBLUHO</t>
  </si>
  <si>
    <t>기관 지도층에 대한 신뢰15: 대통령실</t>
  </si>
  <si>
    <t>CONSCI</t>
  </si>
  <si>
    <t>기관 지도층에 대한 신뢰12: 학계</t>
  </si>
  <si>
    <t>CONLGOVT</t>
  </si>
  <si>
    <t>기관 지도층에 대한 신뢰9: 지방 자치 정부</t>
  </si>
  <si>
    <t>CONCSO</t>
  </si>
  <si>
    <t>기관 지도층에 대한 신뢰16: 시민운동단체</t>
  </si>
  <si>
    <t>CONGOVT</t>
  </si>
  <si>
    <t>기관 지도층에 대한 신뢰8: 중앙 정부 부처</t>
  </si>
  <si>
    <t>인간 본성 선의 인식으로 일반 신뢰 근사</t>
  </si>
  <si>
    <t>타인이 공정하게 대할 것이라는 믿음</t>
  </si>
  <si>
    <t>CONRCH</t>
  </si>
  <si>
    <t>기관 지도층에 대한 신뢰17: 여론조사기관</t>
  </si>
  <si>
    <t>2013,2014,2016,2018,2021,2023,2025</t>
  </si>
  <si>
    <t>인간 본성 인식→일반 신뢰</t>
  </si>
  <si>
    <t>GOVDOOK</t>
  </si>
  <si>
    <t>정부에서 일하는 사람들은 옳은 일을 한다는 주장에 대한 찬반 의견</t>
  </si>
  <si>
    <t>2004,2010,2014</t>
  </si>
  <si>
    <t>정부 신뢰 한정</t>
  </si>
  <si>
    <t>사람들이 공정하게 대할 것이라는 믿음</t>
  </si>
  <si>
    <t>CONSTAT</t>
  </si>
  <si>
    <t>기관 지도층에 대한 신뢰19: 통계청</t>
  </si>
  <si>
    <t>CONPROS</t>
  </si>
  <si>
    <t>기관 지도층에 대한 신뢰18: 검찰청</t>
  </si>
  <si>
    <t>낯선 사람 신뢰</t>
  </si>
  <si>
    <t>TRTEDUC</t>
  </si>
  <si>
    <t>사회기관에 대한 신뢰5: 학교와 교육제도</t>
  </si>
  <si>
    <t>기관 신뢰(교육제도) 한정</t>
  </si>
  <si>
    <t>TRTASSB</t>
  </si>
  <si>
    <t>사회기관에 대한 신뢰1: 국회</t>
  </si>
  <si>
    <t>기관 신뢰(국회) 한정</t>
  </si>
  <si>
    <t>TRTRELI</t>
  </si>
  <si>
    <t>사회기관에 대한 신뢰3: 종교단체</t>
  </si>
  <si>
    <t>기관 신뢰(종교단체) 한정</t>
  </si>
  <si>
    <t>TRTFIRM</t>
  </si>
  <si>
    <t>사회기관에 대한 신뢰2: 기업</t>
  </si>
  <si>
    <t>기관 신뢰(기업) 한정</t>
  </si>
  <si>
    <t>TRTJURI</t>
  </si>
  <si>
    <t>사회기관에 대한 신뢰4: 법원과 사법제도</t>
  </si>
  <si>
    <t>기관 신뢰(법원) 한정</t>
  </si>
  <si>
    <t>TRUSTCON</t>
  </si>
  <si>
    <t>국회 신뢰도</t>
  </si>
  <si>
    <t>2021,2025</t>
  </si>
  <si>
    <t>CONELEC</t>
  </si>
  <si>
    <t>기관 지도층에 대한 신뢰20: 중앙선거관리위원회</t>
  </si>
  <si>
    <t>APATHY1</t>
  </si>
  <si>
    <t>정치인들은 나라보다 자신의 이익을 위해 행동한다</t>
  </si>
  <si>
    <t>정치인 불신(정치 냉소)으로 신뢰 수준 대리</t>
  </si>
  <si>
    <t>APATHY2</t>
  </si>
  <si>
    <t>정치인의 좋은 말은 표를 얻기 위해서이다</t>
  </si>
  <si>
    <t>APATHY3</t>
  </si>
  <si>
    <t>정치인들이 하는 말을 믿는 것은 바보같은 일이다</t>
  </si>
  <si>
    <t>FAIR5</t>
  </si>
  <si>
    <t>일반인의 공정성 평가2</t>
  </si>
  <si>
    <t>TRUSTNEW</t>
  </si>
  <si>
    <t>뉴스 매체 신뢰도</t>
  </si>
  <si>
    <t>TRUSTBUI</t>
  </si>
  <si>
    <t>기업 및 산업 신뢰도</t>
  </si>
  <si>
    <t>TRUSTCOL</t>
  </si>
  <si>
    <t>대학 연구소 신뢰도</t>
  </si>
  <si>
    <t>성공하는 것 중요도</t>
  </si>
  <si>
    <t>능력 드러내기 중요도를 성취 가치로</t>
  </si>
  <si>
    <t>모험 추구 중요도</t>
  </si>
  <si>
    <t>모험, 기회 추구 가치</t>
  </si>
  <si>
    <t>다양한 경험 추구를 모험 가치로</t>
  </si>
  <si>
    <t>일 중심 성공 직원상과 자기 근접도=경력 중시</t>
  </si>
  <si>
    <t>RCAREER</t>
  </si>
  <si>
    <t>직업가치9: 발전 가능성</t>
  </si>
  <si>
    <t>직업 발전 가능성 중요도</t>
  </si>
  <si>
    <t>WORK</t>
  </si>
  <si>
    <t>인생에서 일의 중요도 평가</t>
  </si>
  <si>
    <t>일의 중요도로 경력 성공 가치 근사</t>
  </si>
  <si>
    <t>WRKIMP</t>
  </si>
  <si>
    <t>일의 가치3: 일은 사람의 가장 중요한 활동</t>
  </si>
  <si>
    <t>일이 가장 중요한 활동이라는 태도</t>
  </si>
  <si>
    <t>RPROMOTN</t>
  </si>
  <si>
    <t>직업가치3: 승진 기회</t>
  </si>
  <si>
    <t>직업 선택 시 승진기회 중요도</t>
  </si>
  <si>
    <t>일반적 성공을 경력 성공으로 가정</t>
  </si>
  <si>
    <t>RHLPSOC</t>
  </si>
  <si>
    <t>직업가치7: 사회에 유익한 일</t>
  </si>
  <si>
    <t>사회에 유익한 일 중요도</t>
  </si>
  <si>
    <t>사회 기여 의향</t>
  </si>
  <si>
    <t>MEMB2</t>
  </si>
  <si>
    <t>조직/모임 가입 및 참여정도2: 주민협회, 반상회</t>
  </si>
  <si>
    <t>주민협회 참여→공동체 가치</t>
  </si>
  <si>
    <t>VANEIBR</t>
  </si>
  <si>
    <t>소속된 집단1: 주민협회, 반상회</t>
  </si>
  <si>
    <t>주민모임 소속=지역공동체 참여로 가정</t>
  </si>
  <si>
    <t>NEIGHBOR</t>
  </si>
  <si>
    <t>인생에서 이웃의 중요도 평가</t>
  </si>
  <si>
    <t>이웃 중요도로 공동체 가치 근사</t>
  </si>
  <si>
    <t>CNSPSETHI</t>
  </si>
  <si>
    <t>윤리적 소비행동1: 소비생활을 할 때 공동체 윤리에 맞춰 나의 이기심을 절제할 필요가 있다고 생각한다</t>
  </si>
  <si>
    <t>공동체 윤리 위해 이기심 절제</t>
  </si>
  <si>
    <t>사회 기여를 공동체 가치로</t>
  </si>
  <si>
    <t>창의적인 것 중요도</t>
  </si>
  <si>
    <t>모두 공평하게 대우받는 것 중요도</t>
  </si>
  <si>
    <t>정부의 소득격차 축소 책임 지지</t>
  </si>
  <si>
    <t>INCGAP</t>
  </si>
  <si>
    <t>한국의 소득격차 수준에 대한 의견</t>
  </si>
  <si>
    <t>2003,2009,2011,2014</t>
  </si>
  <si>
    <t>소득격차 과대 인식=평등 지향</t>
  </si>
  <si>
    <t>소득 평등 선호=평등 가치 대리</t>
  </si>
  <si>
    <t>EQTREAT</t>
  </si>
  <si>
    <t>시민 권리 중요성에 대한 인식3: 정부의 평등주의 실현</t>
  </si>
  <si>
    <t>2004,2011</t>
  </si>
  <si>
    <t>정부의 평등 대우 중요도</t>
  </si>
  <si>
    <t>HLCAHIGH</t>
  </si>
  <si>
    <t>고소득자의 더 좋은 의료서비스 공정성</t>
  </si>
  <si>
    <t>고소득자 의료 우대 공정성(역)→평등 가치</t>
  </si>
  <si>
    <t>CULTBIAS11</t>
  </si>
  <si>
    <t>인생관11: 부(富)가 국가들에 더 평등하게 분배된다면 세계는 더 평화로운 곳이 될 것이다</t>
  </si>
  <si>
    <t>부의 평등 분배 지지로 평등 가치 근사</t>
  </si>
  <si>
    <t>CULTBIAS12</t>
  </si>
  <si>
    <t>인생관12: 이 나라에는 재화의 분배를 더 평등하게 만드는 “공정성 혁명”이 필요하다</t>
  </si>
  <si>
    <t>공정성 혁명 동의로 평등 가치 근사</t>
  </si>
  <si>
    <t>재분배 찬성으로 평등 가치 근사</t>
  </si>
  <si>
    <t>정부의 빈부격차 축소 책임 지지</t>
  </si>
  <si>
    <t>ECONDISW</t>
  </si>
  <si>
    <t>경제적 자원 분배 고려 사항</t>
  </si>
  <si>
    <t>분배 원칙(평등/필요/업적) 선택으로 평등 가치 추정</t>
  </si>
  <si>
    <t>소득격차 축소 지지=평등 가치 대리</t>
  </si>
  <si>
    <t>차별금지 지지=평등 가치 대리</t>
  </si>
  <si>
    <t>가족 중요도 척도 → 가족 가치 수준</t>
  </si>
  <si>
    <t>PATRACH7</t>
  </si>
  <si>
    <t>가부장제 가치에 대한 인식7: 자기 자신보다 가족의 안녕과 이해가 우선</t>
  </si>
  <si>
    <t>자신보다 가족 안녕 우선</t>
  </si>
  <si>
    <t>TIMEPRF3</t>
  </si>
  <si>
    <t>시간 사용 변경 의향3: 가족생활</t>
  </si>
  <si>
    <t>2005,2007</t>
  </si>
  <si>
    <t>가족생활에 시간 더 쓰고 싶음</t>
  </si>
  <si>
    <t>KIDJOY</t>
  </si>
  <si>
    <t>자녀에 대한 의견1: 자녀의 성장을 지켜보는 것이 인생에서 가장 큰 즐거움</t>
  </si>
  <si>
    <t>자녀 성장 기쁨 중시→가족 가치</t>
  </si>
  <si>
    <t>PATRACH723</t>
  </si>
  <si>
    <t>FAMRESPO</t>
  </si>
  <si>
    <t>유교적인 삶: 가족에 대한 책임</t>
  </si>
  <si>
    <t>가족 책임 중시 유교적 삶으로 가족 가치 근사</t>
  </si>
  <si>
    <t>KIDPARS</t>
  </si>
  <si>
    <t>사회적 지원 의무에 대한 태도1: 성인자녀는 노부모 부양해야</t>
  </si>
  <si>
    <t>노부모 부양 의무 동의로 가족 가치 근사</t>
  </si>
  <si>
    <t>KIDEMPTY</t>
  </si>
  <si>
    <t>자녀에 대한 의견7: 자녀가 없으면 공허한 인생</t>
  </si>
  <si>
    <t>자녀 없는 삶=공허→가족 가치</t>
  </si>
  <si>
    <t>좋은 시간 보내기 중요도</t>
  </si>
  <si>
    <t>자신에게 즐거움 주는 것 중요도</t>
  </si>
  <si>
    <t>LEISURE</t>
  </si>
  <si>
    <t>인생에서 여가의 중요도 평가</t>
  </si>
  <si>
    <t>여가 중요도로 즐거움 가치 근사</t>
  </si>
  <si>
    <t>여가 즐기기 중요도로 즐거움 가치 근사</t>
  </si>
  <si>
    <t>건강 중요도 → 건강 가치 수준</t>
  </si>
  <si>
    <t>불행한 사람 도와야 한다 동의 → 돕기 가치</t>
  </si>
  <si>
    <t>사람들 돕고 사회 기여 중요도</t>
  </si>
  <si>
    <t>주변 사람 돕기 중요도</t>
  </si>
  <si>
    <t>HELPKR</t>
  </si>
  <si>
    <t>시민 덕목 중요성에 대한 인식8: 국내 빈곤층 원조</t>
  </si>
  <si>
    <t>국내 빈곤층 돕기 중요도</t>
  </si>
  <si>
    <t>RHLPOTHS</t>
  </si>
  <si>
    <t>직업가치6: 타인에게 도움되는 일</t>
  </si>
  <si>
    <t>타인에게 도움되는 일 중요도</t>
  </si>
  <si>
    <t>자신의 문제를 스스로 해결하는 것을 배워야 하며 다른 사람에게 의지해서는 안 된다</t>
  </si>
  <si>
    <t>스스로 해결, 의존 거부 동의 → 독립 가치</t>
  </si>
  <si>
    <t>스스로 결정하는 것 중요도</t>
  </si>
  <si>
    <t>RWRKINDP</t>
  </si>
  <si>
    <t>직업가치5: 독자적인 일</t>
  </si>
  <si>
    <t>독자적으로 일하는 것 중요도</t>
  </si>
  <si>
    <t>친구 선택 시 정직 중시</t>
  </si>
  <si>
    <t>불공정 기업 불매</t>
  </si>
  <si>
    <t>평등대우 중요도를 정의/공정 가치로</t>
  </si>
  <si>
    <t>친구에게 충실한 것 중요도</t>
  </si>
  <si>
    <t>FRIEND7</t>
  </si>
  <si>
    <t>친구 사귈 때 중시하는 특성7: 충실</t>
  </si>
  <si>
    <t>친구 선택 시 충실 중시</t>
  </si>
  <si>
    <t>인권보다 법질서 우선=질서 가치</t>
  </si>
  <si>
    <t>질서정연한 국민 선호=질서 가치</t>
  </si>
  <si>
    <t>규칙 준수 중요도를 질서 가치로</t>
  </si>
  <si>
    <t>전반적 국가 자긍심</t>
  </si>
  <si>
    <t>KRCITIZN</t>
  </si>
  <si>
    <t>국가자긍심1: 나는 어떤 다른 나라 사람이기보다도 한국인이고 싶다</t>
  </si>
  <si>
    <t>다른 나라보다 한국인이고 싶음</t>
  </si>
  <si>
    <t>KRBETTER</t>
  </si>
  <si>
    <t>국가자긍심4: 일반적으로 말해서, 한국은 대부분의 다른 나라보다 더 좋은 나라이다</t>
  </si>
  <si>
    <t>한국이 다른 나라보다 좋은 나라</t>
  </si>
  <si>
    <t>PROUDSPT</t>
  </si>
  <si>
    <t>한국의 스포츠 성취에 대한 자긍심</t>
  </si>
  <si>
    <t>영역별 국가 자긍심(스포츠)</t>
  </si>
  <si>
    <t>PROUDECO</t>
  </si>
  <si>
    <t>한국의 경제적 성취에 대한 자긍심</t>
  </si>
  <si>
    <t>영역별 국가 자긍심(경제)</t>
  </si>
  <si>
    <t>PROUDHIS</t>
  </si>
  <si>
    <t>한국의 역사에 대한 자긍심</t>
  </si>
  <si>
    <t>영역별 국가 자긍심(역사)</t>
  </si>
  <si>
    <t>PROUDSSS</t>
  </si>
  <si>
    <t>한국의 사회보장제도에 대한 자긍심</t>
  </si>
  <si>
    <t>영역별 국가 자긍심(사회보장)</t>
  </si>
  <si>
    <t>영역별 국가 자긍심(과학기술)</t>
  </si>
  <si>
    <t>PROUDGRP</t>
  </si>
  <si>
    <t>한국사회의 공정성에 대한 자긍심</t>
  </si>
  <si>
    <t>영역별 국가 자긍심(사회 공정성)</t>
  </si>
  <si>
    <t>PROUDART</t>
  </si>
  <si>
    <t>한국의 예술과 문학 성취에 대한 자긍심</t>
  </si>
  <si>
    <t>영역별 국가 자긍심(예술문학)</t>
  </si>
  <si>
    <t>PROUDDEM</t>
  </si>
  <si>
    <t>한국의 민주주의에 대한 자긍심</t>
  </si>
  <si>
    <t>영역별 국가 자긍심(민주주의)</t>
  </si>
  <si>
    <t>영역별 국가 자긍심(국제 정치 영향력)</t>
  </si>
  <si>
    <t>PROUDMIL</t>
  </si>
  <si>
    <t>한국의 군사력에 대한 자긍심</t>
  </si>
  <si>
    <t>영역별 국가 자긍심(군사력)</t>
  </si>
  <si>
    <t>무조건적 국가 지지(맹목적 애국)</t>
  </si>
  <si>
    <t>KRSHAMED</t>
  </si>
  <si>
    <t>국가자긍심2: 오늘날 한국에는 내가 한국을 부끄럽게 여기도록 만드는 것이 있다</t>
  </si>
  <si>
    <t>한국이 부끄러운 점 있음 역코딩</t>
  </si>
  <si>
    <t>BELIKEKR</t>
  </si>
  <si>
    <t>국가자긍심3: 다른 나라 사람이 한국 사람만 같다면 세계는 더 좋아질 수 있을 것이다</t>
  </si>
  <si>
    <t>국수주의적 자부심 문항</t>
  </si>
  <si>
    <t>REBORNKR</t>
  </si>
  <si>
    <t>다시 태어나고 싶은 나라: 대한민국 / 다른나라</t>
  </si>
  <si>
    <t>2018,2023,2025</t>
  </si>
  <si>
    <t>한국에 다시 태어나고 싶음=국가 애착</t>
  </si>
  <si>
    <t>REGION3</t>
  </si>
  <si>
    <t>거주지역에 대한 친밀감3: 한국</t>
  </si>
  <si>
    <t>2008,2013</t>
  </si>
  <si>
    <t>한국에 대한 친밀감을 애국심으로</t>
  </si>
  <si>
    <t>KRSPORTS</t>
  </si>
  <si>
    <t>국가자긍심6: 한국이 국제스포츠대회에서 잘할 때면 내가 한국인인 것이 자랑스럽다</t>
  </si>
  <si>
    <t>2003,2013</t>
  </si>
  <si>
    <t>국제 스포츠 성과에 대한 국가 자긍심</t>
  </si>
  <si>
    <t>LESSPRD</t>
  </si>
  <si>
    <t>국가자긍심7: 나는 종종 내가 바라는 것만큼 한국을 자랑스럽게 여기지 못한다</t>
  </si>
  <si>
    <t>한국을 충분히 자랑스러워 못함 역코딩</t>
  </si>
  <si>
    <t>SELFINT0</t>
  </si>
  <si>
    <t>국수주의에 대한 의견2: 다른 나라와 갈등이 일어나더라도 한국은 국가 이익 추구</t>
  </si>
  <si>
    <t>갈등 감수 국익 추구→민족주의</t>
  </si>
  <si>
    <t>FORCUL0</t>
  </si>
  <si>
    <t>국수주의에 대한 의견3: 외국 문화에 많이 노출되면 한국 문화 손상</t>
  </si>
  <si>
    <t>외국문화 경계→문화 민족주의</t>
  </si>
  <si>
    <t>PROUDDEM16B</t>
  </si>
  <si>
    <t>한국의 민주주의에 대한 자긍심(B형)</t>
  </si>
  <si>
    <t>2016,2018,2021</t>
  </si>
  <si>
    <t>영역별 국가 자긍심(민주주의, B형)</t>
  </si>
  <si>
    <t>PROUDSSS16B</t>
  </si>
  <si>
    <t>한국의 사회보장제도에 대한 자긍심(B형)</t>
  </si>
  <si>
    <t>영역별 국가 자긍심(사회보장, B형)</t>
  </si>
  <si>
    <t>PROUDECO16B</t>
  </si>
  <si>
    <t>한국의 경제적 성취에 대한 자긍심(B형)</t>
  </si>
  <si>
    <t>영역별 국가 자긍심(경제, B형)</t>
  </si>
  <si>
    <t>PROUDSSS16A</t>
  </si>
  <si>
    <t>한국의 사회보장제도에 대한 자긍심(A형)</t>
  </si>
  <si>
    <t>영역별 국가 자긍심(사회보장, A형)</t>
  </si>
  <si>
    <t>PROUDECO16A</t>
  </si>
  <si>
    <t>한국의 경제적 성취에 대한 자긍심(A형)</t>
  </si>
  <si>
    <t>영역별 국가 자긍심(경제, A형)</t>
  </si>
  <si>
    <t>PROUDSPT16B</t>
  </si>
  <si>
    <t>한국의 스포츠 성취에 대한 자긍심(B형)</t>
  </si>
  <si>
    <t>영역별 국가 자긍심(스포츠, B형)</t>
  </si>
  <si>
    <t>PROUDDEM16A</t>
  </si>
  <si>
    <t>한국의 민주주의에 대한 자긍심(A형)</t>
  </si>
  <si>
    <t>영역별 국가 자긍심(민주주의, A형)</t>
  </si>
  <si>
    <t>PROUDPOL16B</t>
  </si>
  <si>
    <t>한국의 국제 정치 영향력에 대한 자긍심(B형)</t>
  </si>
  <si>
    <t>영역별 국가 자긍심(국제 정치, B형)</t>
  </si>
  <si>
    <t>PROUDSPT16A</t>
  </si>
  <si>
    <t>한국의 스포츠 성취에 대한 자긍심(A형)</t>
  </si>
  <si>
    <t>영역별 국가 자긍심(스포츠, A형)</t>
  </si>
  <si>
    <t>PROUDHIS16B</t>
  </si>
  <si>
    <t>한국의 역사에 대한 자긍심(B형)</t>
  </si>
  <si>
    <t>영역별 국가 자긍심(역사, B형)</t>
  </si>
  <si>
    <t>PROUDSCI16A</t>
  </si>
  <si>
    <t>한국의 과학기술 성취에 대한 자긍심(A형)</t>
  </si>
  <si>
    <t>영역별 국가 자긍심(과학기술, A형)</t>
  </si>
  <si>
    <t>PROUDSCI16B</t>
  </si>
  <si>
    <t>한국의 과학기술 성취에 대한 자긍심(B형)</t>
  </si>
  <si>
    <t>영역별 국가 자긍심(과학기술, B형)</t>
  </si>
  <si>
    <t>PROUDHIS16A</t>
  </si>
  <si>
    <t>한국의 역사에 대한 자긍심(A형)</t>
  </si>
  <si>
    <t>영역별 국가 자긍심(역사, A형)</t>
  </si>
  <si>
    <t>PROUDGRP16B</t>
  </si>
  <si>
    <t>한국사회의 공정성에 대한 자긍심(B형)</t>
  </si>
  <si>
    <t>영역별 국가 자긍심(사회 공정성, B형)</t>
  </si>
  <si>
    <t>PROUDPOL16A</t>
  </si>
  <si>
    <t>한국의 국제 정치 영향력에 대한 자긍심(A형)</t>
  </si>
  <si>
    <t>영역별 국가 자긍심(국제 정치, A형)</t>
  </si>
  <si>
    <t>PROUDGRP16A</t>
  </si>
  <si>
    <t>한국사회의 공정성에 대한 자긍심(A형)</t>
  </si>
  <si>
    <t>영역별 국가 자긍심(사회 공정성, A형)</t>
  </si>
  <si>
    <t>PROUDMIL16B</t>
  </si>
  <si>
    <t>한국의 군사력에 대한 자긍심(B형)</t>
  </si>
  <si>
    <t>영역별 국가 자긍심(군사력, B형)</t>
  </si>
  <si>
    <t>PROUDART16A</t>
  </si>
  <si>
    <t>한국의 예술과 문학 성취에 대한 자긍심(A형)</t>
  </si>
  <si>
    <t>영역별 국가 자긍심(예술문학, A형)</t>
  </si>
  <si>
    <t>PROUDMIL16A</t>
  </si>
  <si>
    <t>한국의 군사력에 대한 자긍심(A형)</t>
  </si>
  <si>
    <t>영역별 국가 자긍심(군사력, A형)</t>
  </si>
  <si>
    <t>PROUDART16B</t>
  </si>
  <si>
    <t>한국의 예술과 문학 성취에 대한 자긍심(B형)</t>
  </si>
  <si>
    <t>영역별 국가 자긍심(예술문학, B형)</t>
  </si>
  <si>
    <t>KOSPORT0</t>
  </si>
  <si>
    <t>국제 스포츠 및 게임에서 느끼는 국가 자긍심</t>
  </si>
  <si>
    <t>국제 스포츠에서 느끼는 국가 자긍심</t>
  </si>
  <si>
    <t>CLSEKR</t>
  </si>
  <si>
    <t>거주지역에 대한 친밀도4: 한국</t>
  </si>
  <si>
    <t>PATRIO3</t>
  </si>
  <si>
    <t>애국심에 대한 의견3: 한국 단결 위해 필요</t>
  </si>
  <si>
    <t>애국심이 단결에 필요하다는 태도</t>
  </si>
  <si>
    <t>SUPERKR</t>
  </si>
  <si>
    <t>한국인과 서양인의 우수성 비교</t>
  </si>
  <si>
    <t>한국인 우수성 인식=민족적 자부심 대리</t>
  </si>
  <si>
    <t>INDLIMIT</t>
  </si>
  <si>
    <t>공동의 이익 위해 개인의 자유와 행복이 제한될 수 있다고 보는지</t>
  </si>
  <si>
    <t>공익 위한 개인자유 제한 반대 → 자유 가치 높음</t>
  </si>
  <si>
    <t>개인 자유 vs 공공 안전 선택 중 자유 쪽</t>
  </si>
  <si>
    <t>CUSINDNA</t>
  </si>
  <si>
    <t>관습과 국가와 개인의 자유 제한</t>
  </si>
  <si>
    <t>관습, 국가의 자유 제한 반대 → 자유 가치 높음</t>
  </si>
  <si>
    <t>권력 중요도 → 권력, 영향력 가치</t>
  </si>
  <si>
    <t>FRIEND6</t>
  </si>
  <si>
    <t>친구 사귈 때 중시하는 특성6: 권력</t>
  </si>
  <si>
    <t>친구 선택 시 권력 중시</t>
  </si>
  <si>
    <t>GOVAUT2</t>
  </si>
  <si>
    <t>테러가능시 정부의 권한2: 전화의 도, 감청</t>
  </si>
  <si>
    <t>도청 및 감청 권한 반대=프라이버시 중시</t>
  </si>
  <si>
    <t>개인정보 보안 우려를 프라이버시 중시 지표로 사용(여론조사 맥락 한정)</t>
  </si>
  <si>
    <t>공공장소 CCTV 감시 반대=프라이버시 중시</t>
  </si>
  <si>
    <t>혜택 대가 개인정보 제공 의향(역)</t>
  </si>
  <si>
    <t>개인정보 제공에 대한 태도2: 민간기업이 나의 개인정보를 사용하여 이익을 내더라도 제공할 것</t>
  </si>
  <si>
    <t>기업 이익용 개인정보 제공 의향(역)</t>
  </si>
  <si>
    <t>정부 인터넷 감시 반대→프라이버시</t>
  </si>
  <si>
    <t>INFORESI</t>
  </si>
  <si>
    <t>정보 수집1: 국내 거주자 대상</t>
  </si>
  <si>
    <t>정부의 국내 거주자 정보수집 반대</t>
  </si>
  <si>
    <t>인터넷 정보 감시 반대=프라이버시 중시</t>
  </si>
  <si>
    <t>RECGNITN</t>
  </si>
  <si>
    <t>학교생활5: 학업을 잘 함으로써 주변 사람들의 인정을 받으려 노력</t>
  </si>
  <si>
    <t>학업으로 인정받으려 노력(회고)</t>
  </si>
  <si>
    <t>존경받는 것 중요도를 인정 욕구로</t>
  </si>
  <si>
    <t>능력 인정받기 욕구로 해석</t>
  </si>
  <si>
    <t>안전한 환경 중요도</t>
  </si>
  <si>
    <t>RSECJOB</t>
  </si>
  <si>
    <t>직업가치1: 고용의 안정성</t>
  </si>
  <si>
    <t>직업 선택 시 고용안정 중요도</t>
  </si>
  <si>
    <t>존경받는 것 중요도를 사회적 지위로</t>
  </si>
  <si>
    <t>종교 중요도 → 신앙 가치 수준</t>
  </si>
  <si>
    <t>신앙심 강도로 신앙 가치 근사</t>
  </si>
  <si>
    <t>종교성 자기평가를 신앙 가치로</t>
  </si>
  <si>
    <t>비용 소요되더라도 환경 위한 행동</t>
  </si>
  <si>
    <t>자연환경 돌봄 중요도</t>
  </si>
  <si>
    <t>환경 우려를 지속가능성 가치로</t>
  </si>
  <si>
    <t>환경 위한 가격 지불 의향</t>
  </si>
  <si>
    <t>환경 위한 세금 지불 의향</t>
  </si>
  <si>
    <t>환경 위해 생활수준 낮출 의향</t>
  </si>
  <si>
    <t>분리배출 노력</t>
  </si>
  <si>
    <t>GRNECON</t>
  </si>
  <si>
    <t>미래 환경문제 우려에 대한 의견</t>
  </si>
  <si>
    <t>환경보다 물가, 일자리 우선 역코딩</t>
  </si>
  <si>
    <t>IMPGRN</t>
  </si>
  <si>
    <t>삶에는 환경보호보다 더 중요한 일이 있다는 것에 대한 의견</t>
  </si>
  <si>
    <t>환경보다 중요한 일 있음 역코딩</t>
  </si>
  <si>
    <t>GRNPROG</t>
  </si>
  <si>
    <t>인류 발전으로 인한 환경 유해 우려에 대한 의견</t>
  </si>
  <si>
    <t>발전에 따른 환경 우려 과도 역코딩</t>
  </si>
  <si>
    <t>NOBUYGRN</t>
  </si>
  <si>
    <t>환경보호를 위한 노력6: 환경적인 이유로 특정 상품을 구입하지 않는 것</t>
  </si>
  <si>
    <t>환경 이유 특정 상품 불매</t>
  </si>
  <si>
    <t>H2OLESS</t>
  </si>
  <si>
    <t>환경보호를 위한 노력5: 환경적인 이유로 물을 아끼거나 재사용하는 것</t>
  </si>
  <si>
    <t>환경 이유 물 절약</t>
  </si>
  <si>
    <t>REDCEHME</t>
  </si>
  <si>
    <t>환경보호를 위한 노력4: 환경적인 이유로 가정용 에너지나 연로를 절약하는 것</t>
  </si>
  <si>
    <t>환경 이유 에너지 절약</t>
  </si>
  <si>
    <t>CHEMFREE</t>
  </si>
  <si>
    <t>환경보호를 위한 노력2: 농약이나 화학물질을 사용하지 않고 기른 과일이나 채소를 구입하는 특별한 노력</t>
  </si>
  <si>
    <t>무농약 농산물 구매 노력</t>
  </si>
  <si>
    <t>DRIVLESS</t>
  </si>
  <si>
    <t>환경보호를 위한 노력3: 환경적인 이유로 자동차 운전을 자제하는 것</t>
  </si>
  <si>
    <t>환경 이유 운전 자제</t>
  </si>
  <si>
    <t>NATENVIR</t>
  </si>
  <si>
    <t>환경보호를 위한 비용지출의 적정성 평가</t>
  </si>
  <si>
    <t>환경보호 지출 확대 지지=환경 가치 대리</t>
  </si>
  <si>
    <t>NOTBYENV</t>
  </si>
  <si>
    <t>친환경 구매행동2: 제품이 환경에 미칠 수 있는 잠재적 피해를 이해하면 그 제품을 구매하지 않는다</t>
  </si>
  <si>
    <t>환경 피해 제품 불매 행동</t>
  </si>
  <si>
    <t>BYREUSAB</t>
  </si>
  <si>
    <t>친환경 구매행동3: 가급적이면 재사용 또는 재활용이 가능한 용기에 포장된 제품을 구매한다</t>
  </si>
  <si>
    <t>재사용 포장 제품 구매 행동</t>
  </si>
  <si>
    <t>BYRECYCL</t>
  </si>
  <si>
    <t>친환경 구매행동4: 재활용된 재료로 만들어진 제품을 구매하기 위해 최선을 다한다</t>
  </si>
  <si>
    <t>재활용 소재 제품 구매 행동</t>
  </si>
  <si>
    <t>친환경 제품 구매 행동</t>
  </si>
  <si>
    <t>기후 우려→지속가능성 가치 가정</t>
  </si>
  <si>
    <t>전통과 관습 따르기 중요도</t>
  </si>
  <si>
    <t>SEXROLE1</t>
  </si>
  <si>
    <t>성역할에 대한 인식1: 아내는 남편을 내조하는 것이 더 중요</t>
  </si>
  <si>
    <t>내조 중시 성역할→전통 가치</t>
  </si>
  <si>
    <t>가부장적 가치 지지</t>
  </si>
  <si>
    <t>PATRACH5</t>
  </si>
  <si>
    <t>가부장제 가치에 대한 인식5: 가계 계승을 위해 아들 필요</t>
  </si>
  <si>
    <t>가계 계승 위한 아들 필요</t>
  </si>
  <si>
    <t>PATRACH2</t>
  </si>
  <si>
    <t>가부장제 가치에 대한 인식2: 자식은 부모에게 명예가 될 수 있는 일을 하려고 노력</t>
  </si>
  <si>
    <t>효, 가문 명예 중시</t>
  </si>
  <si>
    <t>유교적 삶 여부로 전통 가치 근사</t>
  </si>
  <si>
    <t>남성 생계, 여성 가사 지지→전통 가치</t>
  </si>
  <si>
    <t>아내=가정 돌봄 성역할→전통 가치</t>
  </si>
  <si>
    <t>전통적 성역할 지지</t>
  </si>
  <si>
    <t>PATRACH523</t>
  </si>
  <si>
    <t>PATRACH223</t>
  </si>
  <si>
    <t>RITGRV23</t>
  </si>
  <si>
    <t>의례 빈도1: 묘(납골당) 방문</t>
  </si>
  <si>
    <t>묘, 납골당 방문 빈도로 전통 의례 실천 근사</t>
  </si>
  <si>
    <t>SEXROLE123</t>
  </si>
  <si>
    <t>성역할에 대한 인식1: 아내는 남편이 경력을 쌓을 수 있도록 내조</t>
  </si>
  <si>
    <t>유교적 가족 책임으로 전통 가치 근사</t>
  </si>
  <si>
    <t>CONFUKOR</t>
  </si>
  <si>
    <t>유교적인 삶: 유교적 가치</t>
  </si>
  <si>
    <t>유교적 가치 실천으로 전통 가치 근사</t>
  </si>
  <si>
    <t>CONFURIT</t>
  </si>
  <si>
    <t>유교적인 삶: 의례와 행위</t>
  </si>
  <si>
    <t>유교 의례, 행위 실천으로 전통 가치 근사</t>
  </si>
  <si>
    <t>ANCEDUTY</t>
  </si>
  <si>
    <t>유교적인 삶: 조상에 대한 의무</t>
  </si>
  <si>
    <t>조상에 대한 의무 중시로 전통 가치 근사</t>
  </si>
  <si>
    <t>CONFUETH</t>
  </si>
  <si>
    <t>유교적인 삶: 도덕적 잣대</t>
  </si>
  <si>
    <t>유교 도덕 잣대 수용으로 전통 가치 근사</t>
  </si>
  <si>
    <t>PATRACH6</t>
  </si>
  <si>
    <t>가부장제 가치에 대한 인식6: 결혼한 여자는 친정보다 시집이 우선</t>
  </si>
  <si>
    <t>시가 우선 규범 지지</t>
  </si>
  <si>
    <t>PATRACH3</t>
  </si>
  <si>
    <t>가부장제 가치에 대한 인식3: 장남이 더 많은 재산 상속</t>
  </si>
  <si>
    <t>장남 우대 상속 지지</t>
  </si>
  <si>
    <t>IMMSHARE</t>
  </si>
  <si>
    <t>한국사회에서 대부분의 사람들이 같은 전통과 풍습을 공유하는 것이 바람직하다</t>
  </si>
  <si>
    <t>공통 전통, 풍습 공유 선호=전통 가치 대리</t>
  </si>
  <si>
    <t>RITEHOME</t>
  </si>
  <si>
    <t>의례 빈도2: 집에서</t>
  </si>
  <si>
    <t>가정 내 제사 빈도로 전통 의례 실천 근사</t>
  </si>
  <si>
    <t>RITEGRAV</t>
  </si>
  <si>
    <t>MARIGOLD</t>
  </si>
  <si>
    <t>결혼은 시대에 뒤떨어진 제도이다</t>
  </si>
  <si>
    <t>결혼 제도 옹호 → 전통 가치로 가정</t>
  </si>
  <si>
    <t>WOMENROL</t>
  </si>
  <si>
    <t>일도 좋지만 여성이 진정으로 원하는 것은 가정과 아이들이다</t>
  </si>
  <si>
    <t>전통적 성역할 동의 → 전통 가치로 가정</t>
  </si>
  <si>
    <t>HUSBWIFE</t>
  </si>
  <si>
    <t>가정생활에서 남편과 아내가 해야 할 일은 구별되어야 한다</t>
  </si>
  <si>
    <t>부부 역할 구분 동의 → 전통 가치로 가정</t>
  </si>
  <si>
    <t>LOVCOHAB</t>
  </si>
  <si>
    <t>사랑하는 사이에 결혼하지 않고 동거하는 것도 괜찮다</t>
  </si>
  <si>
    <t>혼전 동거 반대 → 전통 가치로 가정</t>
  </si>
  <si>
    <t>CONFUCIN</t>
  </si>
  <si>
    <t>유교 믿음 여부</t>
  </si>
  <si>
    <t>유교 신봉 → 전통 가치로 가정</t>
  </si>
  <si>
    <t>GRAVEFRQ</t>
  </si>
  <si>
    <t>지난 1년간 가족구성원의 묘지 방문 빈도</t>
  </si>
  <si>
    <t>성묘 빈도→전통 관습</t>
  </si>
  <si>
    <t>인생에서 돈의 중요도 평가</t>
  </si>
  <si>
    <t>돈의 중요도 → 부 가치 수준</t>
  </si>
  <si>
    <t>부자 되는 것 중요도</t>
  </si>
  <si>
    <t>FRIEND5</t>
  </si>
  <si>
    <t>친구 사귈 때 중시하는 특성5: 부</t>
  </si>
  <si>
    <t>친구 선택 시 부 중시</t>
  </si>
  <si>
    <t>인생 1순위 가치 선택 → 핵심 가치 범주 매핑</t>
  </si>
  <si>
    <t>인생에서 두 번째로 중요한 것</t>
  </si>
  <si>
    <t>인생 2순위 가치 선택 → 보조 가치 범주 매핑</t>
  </si>
  <si>
    <t>POSTMAT1</t>
  </si>
  <si>
    <t>한국에서 가장 우선적으로 해야 하는 사항1</t>
  </si>
  <si>
    <t>2010,2021,2023</t>
  </si>
  <si>
    <t>탈물질주의 우선순위 1순위</t>
  </si>
  <si>
    <t>POSTMAT2</t>
  </si>
  <si>
    <t>한국에서 가장 우선적으로 해야 하는 사항2</t>
  </si>
  <si>
    <t>탈물질주의 우선순위 2순위</t>
  </si>
  <si>
    <t>새로 확인된 사항: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</si>
</sst>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1">
    <font>
      <sz val="11"/>
      <color theme="1"/>
      <name val="맑은 고딕"/>
      <family val="2"/>
      <scheme val="minor"/>
    </font>
    <font>
      <sz val="11"/>
      <color rgb="FF243247"/>
      <name val="Apple SD Gothic Neo"/>
      <family val="2"/>
      <charset val="129"/>
    </font>
    <font>
      <sz val="11"/>
      <color rgb="FF243247"/>
      <name val="맑은 고딕"/>
      <family val="2"/>
      <scheme val="minor"/>
    </font>
    <font>
      <b/>
      <sz val="16"/>
      <color rgb="FFFFFFFF"/>
      <name val="Apple SD Gothic Neo"/>
      <family val="2"/>
      <charset val="129"/>
    </font>
    <font>
      <b/>
      <sz val="16"/>
      <color rgb="FFFFFFFF"/>
      <name val="맑은 고딕"/>
      <family val="2"/>
      <scheme val="minor"/>
    </font>
    <font>
      <sz val="11"/>
      <color rgb="FF41566A"/>
      <name val="Apple SD Gothic Neo"/>
      <family val="2"/>
      <charset val="129"/>
    </font>
    <font>
      <sz val="11"/>
      <color rgb="FF41566A"/>
      <name val="맑은 고딕"/>
      <family val="2"/>
      <scheme val="minor"/>
    </font>
    <font>
      <b/>
      <sz val="11"/>
      <color rgb="FFFFFFFF"/>
      <name val="Apple SD Gothic Neo"/>
      <family val="2"/>
      <charset val="129"/>
    </font>
    <font>
      <b/>
      <sz val="11"/>
      <color rgb="FFFFFFFF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9364D"/>
      </patternFill>
    </fill>
    <fill>
      <patternFill patternType="solid">
        <fgColor rgb="FFEAF0F5"/>
      </patternFill>
    </fill>
    <fill>
      <patternFill patternType="solid">
        <fgColor rgb="FFF3F6F9"/>
      </patternFill>
    </fill>
    <fill>
      <patternFill patternType="solid">
        <fgColor rgb="FF34566E"/>
      </patternFill>
    </fill>
  </fills>
  <borders count="3">
    <border>
      <left/>
      <right/>
      <top/>
      <bottom/>
      <diagonal/>
    </border>
    <border>
      <left style="thin">
        <color rgb="FFDFE5EC"/>
      </left>
      <right style="thin">
        <color rgb="FFDFE5EC"/>
      </right>
      <top style="thin">
        <color rgb="FFDFE5EC"/>
      </top>
      <bottom style="thin">
        <color rgb="FFDFE5EC"/>
      </bottom>
      <diagonal/>
    </border>
    <border>
      <left style="thin">
        <color rgb="FFDFE5EC"/>
      </left>
      <right style="thin">
        <color rgb="FFDFE5EC"/>
      </right>
      <top style="thin">
        <color rgb="FFDFE5EC"/>
      </top>
      <bottom style="thin">
        <color rgb="FFDFE5EC"/>
      </bottom>
      <diagonal/>
    </border>
  </borders>
  <cellStyleXfs count="2">
    <xf numFmtId="0" fontId="0" fillId="0" borderId="0"/>
    <xf numFmtId="0" fontId="9" fillId="0" borderId="0"/>
  </cellStyleXfs>
  <cellXfs count="23">
    <xf numFmtId="0" fontId="0" fillId="0" borderId="0" xfId="0"/>
    <xf numFmtId="0" fontId="1" fillId="2" borderId="1" xfId="1" applyFont="1" applyFill="1" applyBorder="1" applyAlignment="1">
      <alignment vertical="center" wrapText="1"/>
    </xf>
    <xf numFmtId="0" fontId="2" fillId="2" borderId="1" xfId="1" applyFont="1" applyFill="1" applyBorder="1" applyAlignment="1">
      <alignment vertical="center" wrapText="1"/>
    </xf>
    <xf numFmtId="0" fontId="1" fillId="2" borderId="2" xfId="1" applyFont="1" applyFill="1" applyBorder="1" applyAlignment="1">
      <alignment vertical="center" wrapText="1"/>
    </xf>
    <xf numFmtId="0" fontId="1" fillId="5" borderId="2" xfId="1" applyFont="1" applyFill="1" applyBorder="1" applyAlignment="1">
      <alignment vertical="center" wrapText="1"/>
    </xf>
    <xf numFmtId="0" fontId="2" fillId="5" borderId="1" xfId="1" applyFont="1" applyFill="1" applyBorder="1" applyAlignment="1">
      <alignment vertical="center" wrapText="1"/>
    </xf>
    <xf numFmtId="0" fontId="1" fillId="5" borderId="1" xfId="1" applyFont="1" applyFill="1" applyBorder="1" applyAlignment="1">
      <alignment vertical="center" wrapText="1"/>
    </xf>
    <xf numFmtId="0" fontId="7" fillId="6" borderId="2" xfId="1" applyFont="1" applyFill="1" applyBorder="1" applyAlignment="1">
      <alignment vertical="center" wrapText="1"/>
    </xf>
    <xf numFmtId="0" fontId="1" fillId="2" borderId="2" xfId="1" applyFont="1" applyFill="1" applyBorder="1" applyAlignment="1">
      <alignment horizontal="right" vertical="center" wrapText="1"/>
    </xf>
    <xf numFmtId="0" fontId="1" fillId="5" borderId="2" xfId="1" applyFont="1" applyFill="1" applyBorder="1" applyAlignment="1">
      <alignment horizontal="right" vertical="center" wrapText="1"/>
    </xf>
    <xf numFmtId="0" fontId="1" fillId="5" borderId="1" xfId="1" applyFont="1" applyFill="1" applyBorder="1" applyAlignment="1">
      <alignment horizontal="right" vertical="center" wrapText="1"/>
    </xf>
    <xf numFmtId="0" fontId="1" fillId="2" borderId="1" xfId="1" applyFont="1" applyFill="1" applyBorder="1" applyAlignment="1">
      <alignment horizontal="right" vertical="center" wrapText="1"/>
    </xf>
    <xf numFmtId="176" fontId="1" fillId="5" borderId="2" xfId="1" applyNumberFormat="1" applyFont="1" applyFill="1" applyBorder="1" applyAlignment="1">
      <alignment horizontal="right" vertical="center" wrapText="1"/>
    </xf>
    <xf numFmtId="176" fontId="1" fillId="2" borderId="2" xfId="1" applyNumberFormat="1" applyFont="1" applyFill="1" applyBorder="1" applyAlignment="1">
      <alignment horizontal="right" vertical="center" wrapText="1"/>
    </xf>
    <xf numFmtId="176" fontId="1" fillId="2" borderId="1" xfId="1" applyNumberFormat="1" applyFont="1" applyFill="1" applyBorder="1" applyAlignment="1">
      <alignment horizontal="right" vertical="center" wrapText="1"/>
    </xf>
    <xf numFmtId="9" fontId="1" fillId="5" borderId="1" xfId="1" applyNumberFormat="1" applyFont="1" applyFill="1" applyBorder="1" applyAlignment="1">
      <alignment horizontal="right" vertical="center" wrapText="1"/>
    </xf>
    <xf numFmtId="176" fontId="1" fillId="5" borderId="1" xfId="1" applyNumberFormat="1" applyFont="1" applyFill="1" applyBorder="1" applyAlignment="1">
      <alignment horizontal="right" vertical="center" wrapText="1"/>
    </xf>
    <xf numFmtId="9" fontId="1" fillId="2" borderId="1" xfId="1" applyNumberFormat="1" applyFont="1" applyFill="1" applyBorder="1" applyAlignment="1">
      <alignment horizontal="right" vertical="center" wrapText="1"/>
    </xf>
    <xf numFmtId="0" fontId="8" fillId="6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left" vertical="center" wrapText="1"/>
    </xf>
    <xf numFmtId="0" fontId="6" fillId="4" borderId="1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4" fillId="3" borderId="1" xfId="1" applyFont="1" applyFill="1" applyBorder="1" applyAlignment="1">
      <alignment horizontal="left" vertical="center" wrapText="1"/>
    </xf>
  </cellXfs>
  <cellStyles count="2">
    <cellStyle name="표준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000-000000000000}">
  <dimension ref="A1:H21"/>
  <sheetViews>
    <sheetView showGridLines="0" tabSelected="1" workbookViewId="0">
      <pane ySplit="4" topLeftCell="A6" activePane="bottomLeft" state="frozen"/>
      <selection pane="bottomLeft" activeCell="R18" sqref="R18"/>
    </sheetView>
  </sheetViews>
  <sheetFormatPr baseColWidth="10" defaultColWidth="8.83203125" defaultRowHeight="17"/>
  <cols>
    <col min="1" max="1" width="26" customWidth="1"/>
    <col min="2" max="2" width="34" customWidth="1"/>
    <col min="3" max="3" width="30" customWidth="1"/>
    <col min="4" max="4" width="20" customWidth="1"/>
    <col min="5" max="5" width="26" customWidth="1"/>
    <col min="6" max="6" width="22" customWidth="1"/>
    <col min="7" max="7" width="12" customWidth="1"/>
    <col min="8" max="8" width="40" customWidth="1"/>
  </cols>
  <sheetData>
    <row r="1" spans="1:8" ht="42" customHeight="1">
      <c r="A1" s="21" t="str">
        <v>자료 점검 요약</v>
      </c>
      <c r="B1" s="22"/>
      <c r="C1" s="22"/>
      <c r="D1" s="22"/>
      <c r="E1" s="22"/>
      <c r="F1" s="22"/>
      <c r="G1" s="22"/>
      <c r="H1" s="22"/>
    </row>
    <row r="2" spans="1:8" ht="33" customHeight="1">
      <c r="A2" s="19" t="str">
        <v>파일 목록, 헤더 및 메타데이터의 점검 결과이다. 수치는 원자료에서 직접 집계하였다.</v>
      </c>
      <c r="B2" s="20"/>
      <c r="C2" s="20"/>
      <c r="D2" s="20"/>
      <c r="E2" s="20"/>
      <c r="F2" s="20"/>
      <c r="G2" s="20"/>
      <c r="H2" s="20"/>
    </row>
    <row r="3" spans="1:8" ht="16" customHeight="1">
      <c r="A3" s="2"/>
      <c r="B3" s="2"/>
      <c r="C3" s="2"/>
      <c r="D3" s="2"/>
      <c r="E3" s="2"/>
      <c r="F3" s="2"/>
      <c r="G3" s="2"/>
      <c r="H3" s="2"/>
    </row>
    <row r="4" spans="1:8" ht="44" customHeight="1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</row>
    <row r="5" spans="1:8" ht="66" customHeight="1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6" spans="1:8" ht="48" customHeight="1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16</v>
      </c>
      <c r="H6" s="4" t="s">
        <v>24</v>
      </c>
    </row>
    <row r="7" spans="1:8" ht="48" customHeight="1">
      <c r="A7" s="3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30</v>
      </c>
      <c r="G7" s="3" t="s">
        <v>16</v>
      </c>
      <c r="H7" s="3" t="s">
        <v>31</v>
      </c>
    </row>
    <row r="8" spans="1:8" ht="48" customHeight="1">
      <c r="A8" s="4" t="s">
        <v>32</v>
      </c>
      <c r="B8" s="4" t="s">
        <v>33</v>
      </c>
      <c r="C8" s="4" t="s">
        <v>34</v>
      </c>
      <c r="D8" s="4" t="s">
        <v>35</v>
      </c>
      <c r="E8" s="4" t="s">
        <v>36</v>
      </c>
      <c r="F8" s="4" t="s">
        <v>37</v>
      </c>
      <c r="G8" s="4" t="s">
        <v>16</v>
      </c>
      <c r="H8" s="4" t="s">
        <v>38</v>
      </c>
    </row>
    <row r="9" spans="1:8" ht="48" customHeight="1">
      <c r="A9" s="3" t="s">
        <v>39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44</v>
      </c>
      <c r="G9" s="3" t="s">
        <v>16</v>
      </c>
      <c r="H9" s="3" t="s">
        <v>45</v>
      </c>
    </row>
    <row r="10" spans="1:8" ht="48" customHeight="1">
      <c r="A10" s="4" t="s">
        <v>46</v>
      </c>
      <c r="B10" s="4" t="s">
        <v>47</v>
      </c>
      <c r="C10" s="4" t="s">
        <v>48</v>
      </c>
      <c r="D10" s="4" t="s">
        <v>49</v>
      </c>
      <c r="E10" s="4" t="s">
        <v>50</v>
      </c>
      <c r="F10" s="4" t="s">
        <v>51</v>
      </c>
      <c r="G10" s="4" t="s">
        <v>16</v>
      </c>
      <c r="H10" s="4" t="s">
        <v>52</v>
      </c>
    </row>
    <row r="11" spans="1:8" ht="48" customHeight="1">
      <c r="A11" s="3" t="s">
        <v>53</v>
      </c>
      <c r="B11" s="3" t="s">
        <v>54</v>
      </c>
      <c r="C11" s="3" t="s">
        <v>55</v>
      </c>
      <c r="D11" s="3" t="s">
        <v>56</v>
      </c>
      <c r="E11" s="3" t="s">
        <v>57</v>
      </c>
      <c r="F11" s="3" t="s">
        <v>58</v>
      </c>
      <c r="G11" s="3" t="s">
        <v>59</v>
      </c>
      <c r="H11" s="3" t="s">
        <v>60</v>
      </c>
    </row>
    <row r="12" spans="1:8" ht="48" customHeight="1">
      <c r="A12" s="4" t="s">
        <v>61</v>
      </c>
      <c r="B12" s="4" t="s">
        <v>62</v>
      </c>
      <c r="C12" s="4" t="s">
        <v>63</v>
      </c>
      <c r="D12" s="4" t="s">
        <v>64</v>
      </c>
      <c r="E12" s="4" t="s">
        <v>64</v>
      </c>
      <c r="F12" s="4" t="s">
        <v>65</v>
      </c>
      <c r="G12" s="4" t="s">
        <v>16</v>
      </c>
      <c r="H12" s="4" t="s">
        <v>66</v>
      </c>
    </row>
    <row r="13" spans="1:8" ht="48" customHeight="1">
      <c r="A13" s="3" t="s">
        <v>67</v>
      </c>
      <c r="B13" s="3" t="s">
        <v>68</v>
      </c>
      <c r="C13" s="3" t="s">
        <v>64</v>
      </c>
      <c r="D13" s="3" t="s">
        <v>64</v>
      </c>
      <c r="E13" s="3" t="s">
        <v>64</v>
      </c>
      <c r="F13" s="3" t="s">
        <v>69</v>
      </c>
      <c r="G13" s="3" t="s">
        <v>16</v>
      </c>
      <c r="H13" s="3" t="s">
        <v>64</v>
      </c>
    </row>
    <row r="14" spans="1:8" ht="16" customHeight="1">
      <c r="A14" s="5"/>
      <c r="B14" s="5"/>
      <c r="C14" s="5"/>
      <c r="D14" s="5"/>
      <c r="E14" s="5"/>
      <c r="F14" s="5"/>
      <c r="G14" s="5"/>
      <c r="H14" s="5"/>
    </row>
    <row r="15" spans="1:8" ht="16" customHeight="1">
      <c r="A15" s="2"/>
      <c r="B15" s="2"/>
      <c r="C15" s="2"/>
      <c r="D15" s="2"/>
      <c r="E15" s="2"/>
      <c r="F15" s="2"/>
      <c r="G15" s="2"/>
      <c r="H15" s="2"/>
    </row>
    <row r="16" spans="1:8" ht="33" customHeight="1">
      <c r="A16" s="19" t="s">
        <v>4767</v>
      </c>
      <c r="B16" s="20"/>
      <c r="C16" s="20"/>
      <c r="D16" s="20"/>
      <c r="E16" s="20"/>
      <c r="F16" s="20"/>
      <c r="G16" s="20"/>
      <c r="H16" s="20"/>
    </row>
    <row r="17" spans="1:8" ht="33" customHeight="1">
      <c r="A17" s="19"/>
      <c r="B17" s="20"/>
      <c r="C17" s="20"/>
      <c r="D17" s="20"/>
      <c r="E17" s="20"/>
      <c r="F17" s="20"/>
      <c r="G17" s="20"/>
      <c r="H17" s="20"/>
    </row>
    <row r="18" spans="1:8" ht="33" customHeight="1">
      <c r="A18" s="19"/>
      <c r="B18" s="20"/>
      <c r="C18" s="20"/>
      <c r="D18" s="20"/>
      <c r="E18" s="20"/>
      <c r="F18" s="20"/>
      <c r="G18" s="20"/>
      <c r="H18" s="20"/>
    </row>
    <row r="19" spans="1:8" ht="33" customHeight="1">
      <c r="A19" s="19"/>
      <c r="B19" s="20"/>
      <c r="C19" s="20"/>
      <c r="D19" s="20"/>
      <c r="E19" s="20"/>
      <c r="F19" s="20"/>
      <c r="G19" s="20"/>
      <c r="H19" s="20"/>
    </row>
    <row r="20" spans="1:8" ht="33" customHeight="1">
      <c r="A20" s="19"/>
      <c r="B20" s="20"/>
      <c r="C20" s="20"/>
      <c r="D20" s="20"/>
      <c r="E20" s="20"/>
      <c r="F20" s="20"/>
      <c r="G20" s="20"/>
      <c r="H20" s="20"/>
    </row>
    <row r="21" spans="1:8" ht="33" customHeight="1">
      <c r="A21" s="19"/>
      <c r="B21" s="20"/>
      <c r="C21" s="20"/>
      <c r="D21" s="20"/>
      <c r="E21" s="20"/>
      <c r="F21" s="20"/>
      <c r="G21" s="20"/>
      <c r="H21" s="20"/>
    </row>
  </sheetData>
  <mergeCells count="8">
    <mergeCell ref="A1:H1"/>
    <mergeCell ref="A2:H2"/>
    <mergeCell ref="A16:H16"/>
    <mergeCell ref="A18:H18"/>
    <mergeCell ref="A21:H21"/>
    <mergeCell ref="A20:H20"/>
    <mergeCell ref="A19:H19"/>
    <mergeCell ref="A17:H17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baseColWidth="10" defaultColWidth="8.83203125" defaultRowHeight="17"/>
  <cols>
    <col min="1" max="1" width="14" customWidth="1"/>
    <col min="2" max="2" width="26" customWidth="1"/>
    <col min="3" max="3" width="14" customWidth="1"/>
    <col min="4" max="4" width="26" customWidth="1"/>
    <col min="5" max="5" width="40" customWidth="1"/>
    <col min="6" max="7" width="30" customWidth="1"/>
    <col min="8" max="8" width="44" customWidth="1"/>
  </cols>
  <sheetData>
    <row r="1" spans="1:8" ht="42" customHeight="1">
      <c r="A1" s="21" t="s">
        <v>70</v>
      </c>
      <c r="B1" s="22"/>
      <c r="C1" s="22"/>
      <c r="D1" s="22"/>
      <c r="E1" s="22"/>
      <c r="F1" s="22"/>
      <c r="G1" s="22"/>
      <c r="H1" s="22"/>
    </row>
    <row r="2" spans="1:8" ht="33" customHeight="1">
      <c r="A2" s="19" t="s">
        <v>71</v>
      </c>
      <c r="B2" s="20"/>
      <c r="C2" s="20"/>
      <c r="D2" s="20"/>
      <c r="E2" s="20"/>
      <c r="F2" s="20"/>
      <c r="G2" s="20"/>
      <c r="H2" s="20"/>
    </row>
    <row r="3" spans="1:8" ht="16" customHeight="1">
      <c r="A3" s="2"/>
      <c r="B3" s="2"/>
      <c r="C3" s="2"/>
      <c r="D3" s="2"/>
      <c r="E3" s="2"/>
      <c r="F3" s="2"/>
      <c r="G3" s="2"/>
      <c r="H3" s="2"/>
    </row>
    <row r="4" spans="1:8" ht="44" customHeight="1">
      <c r="A4" s="7" t="s">
        <v>72</v>
      </c>
      <c r="B4" s="7" t="s">
        <v>73</v>
      </c>
      <c r="C4" s="7" t="s">
        <v>2</v>
      </c>
      <c r="D4" s="7" t="s">
        <v>74</v>
      </c>
      <c r="E4" s="7" t="s">
        <v>75</v>
      </c>
      <c r="F4" s="7" t="s">
        <v>76</v>
      </c>
      <c r="G4" s="7" t="s">
        <v>77</v>
      </c>
      <c r="H4" s="7" t="s">
        <v>9</v>
      </c>
    </row>
    <row r="5" spans="1:8" ht="48" customHeight="1">
      <c r="A5" s="3" t="s">
        <v>78</v>
      </c>
      <c r="B5" s="3" t="s">
        <v>79</v>
      </c>
      <c r="C5" s="3" t="s">
        <v>80</v>
      </c>
      <c r="D5" s="3" t="s">
        <v>81</v>
      </c>
      <c r="E5" s="3" t="s">
        <v>82</v>
      </c>
      <c r="F5" s="3" t="s">
        <v>83</v>
      </c>
      <c r="G5" s="3" t="s">
        <v>83</v>
      </c>
      <c r="H5" s="3" t="s">
        <v>84</v>
      </c>
    </row>
    <row r="6" spans="1:8" ht="30" customHeight="1">
      <c r="A6" s="4" t="s">
        <v>78</v>
      </c>
      <c r="B6" s="4" t="s">
        <v>85</v>
      </c>
      <c r="C6" s="4" t="s">
        <v>85</v>
      </c>
      <c r="D6" s="4" t="s">
        <v>85</v>
      </c>
      <c r="E6" s="4" t="s">
        <v>86</v>
      </c>
      <c r="F6" s="4" t="s">
        <v>87</v>
      </c>
      <c r="G6" s="4" t="s">
        <v>87</v>
      </c>
      <c r="H6" s="4" t="s">
        <v>85</v>
      </c>
    </row>
    <row r="7" spans="1:8" ht="30" customHeight="1">
      <c r="A7" s="3" t="s">
        <v>78</v>
      </c>
      <c r="B7" s="3" t="s">
        <v>85</v>
      </c>
      <c r="C7" s="3" t="s">
        <v>85</v>
      </c>
      <c r="D7" s="3" t="s">
        <v>85</v>
      </c>
      <c r="E7" s="3" t="s">
        <v>88</v>
      </c>
      <c r="F7" s="3" t="s">
        <v>89</v>
      </c>
      <c r="G7" s="3" t="s">
        <v>89</v>
      </c>
      <c r="H7" s="3" t="s">
        <v>85</v>
      </c>
    </row>
    <row r="8" spans="1:8" ht="30" customHeight="1">
      <c r="A8" s="4" t="s">
        <v>78</v>
      </c>
      <c r="B8" s="4" t="s">
        <v>85</v>
      </c>
      <c r="C8" s="4" t="s">
        <v>85</v>
      </c>
      <c r="D8" s="4" t="s">
        <v>85</v>
      </c>
      <c r="E8" s="4" t="s">
        <v>90</v>
      </c>
      <c r="F8" s="4" t="s">
        <v>91</v>
      </c>
      <c r="G8" s="4" t="s">
        <v>91</v>
      </c>
      <c r="H8" s="4" t="s">
        <v>85</v>
      </c>
    </row>
    <row r="9" spans="1:8" ht="30" customHeight="1">
      <c r="A9" s="3" t="s">
        <v>78</v>
      </c>
      <c r="B9" s="3" t="s">
        <v>85</v>
      </c>
      <c r="C9" s="3" t="s">
        <v>85</v>
      </c>
      <c r="D9" s="3" t="s">
        <v>85</v>
      </c>
      <c r="E9" s="3" t="s">
        <v>92</v>
      </c>
      <c r="F9" s="3" t="s">
        <v>93</v>
      </c>
      <c r="G9" s="3" t="s">
        <v>93</v>
      </c>
      <c r="H9" s="3" t="s">
        <v>85</v>
      </c>
    </row>
    <row r="10" spans="1:8" ht="30" customHeight="1">
      <c r="A10" s="4" t="s">
        <v>78</v>
      </c>
      <c r="B10" s="4" t="s">
        <v>85</v>
      </c>
      <c r="C10" s="4" t="s">
        <v>85</v>
      </c>
      <c r="D10" s="4" t="s">
        <v>85</v>
      </c>
      <c r="E10" s="4" t="s">
        <v>94</v>
      </c>
      <c r="F10" s="4" t="s">
        <v>95</v>
      </c>
      <c r="G10" s="4" t="s">
        <v>95</v>
      </c>
      <c r="H10" s="4" t="s">
        <v>85</v>
      </c>
    </row>
    <row r="11" spans="1:8" ht="30" customHeight="1">
      <c r="A11" s="3" t="s">
        <v>78</v>
      </c>
      <c r="B11" s="3" t="s">
        <v>85</v>
      </c>
      <c r="C11" s="3" t="s">
        <v>85</v>
      </c>
      <c r="D11" s="3" t="s">
        <v>85</v>
      </c>
      <c r="E11" s="3" t="s">
        <v>96</v>
      </c>
      <c r="F11" s="3" t="s">
        <v>97</v>
      </c>
      <c r="G11" s="3" t="s">
        <v>97</v>
      </c>
      <c r="H11" s="3" t="s">
        <v>85</v>
      </c>
    </row>
    <row r="12" spans="1:8" ht="30" customHeight="1">
      <c r="A12" s="4" t="s">
        <v>78</v>
      </c>
      <c r="B12" s="4" t="s">
        <v>85</v>
      </c>
      <c r="C12" s="4" t="s">
        <v>85</v>
      </c>
      <c r="D12" s="4" t="s">
        <v>85</v>
      </c>
      <c r="E12" s="4" t="s">
        <v>98</v>
      </c>
      <c r="F12" s="4" t="s">
        <v>98</v>
      </c>
      <c r="G12" s="4" t="s">
        <v>98</v>
      </c>
      <c r="H12" s="4" t="s">
        <v>85</v>
      </c>
    </row>
    <row r="13" spans="1:8" ht="48" customHeight="1">
      <c r="A13" s="3" t="s">
        <v>78</v>
      </c>
      <c r="B13" s="3" t="s">
        <v>99</v>
      </c>
      <c r="C13" s="3" t="s">
        <v>80</v>
      </c>
      <c r="D13" s="3" t="s">
        <v>100</v>
      </c>
      <c r="E13" s="3" t="s">
        <v>101</v>
      </c>
      <c r="F13" s="3" t="s">
        <v>102</v>
      </c>
      <c r="G13" s="3" t="s">
        <v>102</v>
      </c>
      <c r="H13" s="3" t="s">
        <v>103</v>
      </c>
    </row>
    <row r="14" spans="1:8" ht="30" customHeight="1">
      <c r="A14" s="4" t="s">
        <v>78</v>
      </c>
      <c r="B14" s="4" t="s">
        <v>85</v>
      </c>
      <c r="C14" s="4" t="s">
        <v>85</v>
      </c>
      <c r="D14" s="4" t="s">
        <v>85</v>
      </c>
      <c r="E14" s="4" t="s">
        <v>104</v>
      </c>
      <c r="F14" s="4" t="s">
        <v>105</v>
      </c>
      <c r="G14" s="4" t="s">
        <v>105</v>
      </c>
      <c r="H14" s="4" t="s">
        <v>85</v>
      </c>
    </row>
    <row r="15" spans="1:8" ht="48" customHeight="1">
      <c r="A15" s="3" t="s">
        <v>78</v>
      </c>
      <c r="B15" s="3" t="s">
        <v>106</v>
      </c>
      <c r="C15" s="3" t="s">
        <v>80</v>
      </c>
      <c r="D15" s="3" t="s">
        <v>64</v>
      </c>
      <c r="E15" s="3" t="s">
        <v>107</v>
      </c>
      <c r="F15" s="3" t="s">
        <v>108</v>
      </c>
      <c r="G15" s="3" t="s">
        <v>108</v>
      </c>
      <c r="H15" s="3" t="s">
        <v>85</v>
      </c>
    </row>
    <row r="16" spans="1:8" ht="48" customHeight="1">
      <c r="A16" s="4" t="s">
        <v>78</v>
      </c>
      <c r="B16" s="4" t="s">
        <v>109</v>
      </c>
      <c r="C16" s="4" t="s">
        <v>80</v>
      </c>
      <c r="D16" s="4" t="s">
        <v>110</v>
      </c>
      <c r="E16" s="4" t="s">
        <v>111</v>
      </c>
      <c r="F16" s="4" t="s">
        <v>112</v>
      </c>
      <c r="G16" s="4" t="s">
        <v>112</v>
      </c>
      <c r="H16" s="4" t="s">
        <v>113</v>
      </c>
    </row>
    <row r="17" spans="1:8" ht="30" customHeight="1">
      <c r="A17" s="3" t="s">
        <v>78</v>
      </c>
      <c r="B17" s="3" t="s">
        <v>85</v>
      </c>
      <c r="C17" s="3" t="s">
        <v>85</v>
      </c>
      <c r="D17" s="3" t="s">
        <v>85</v>
      </c>
      <c r="E17" s="3" t="s">
        <v>114</v>
      </c>
      <c r="F17" s="3" t="s">
        <v>115</v>
      </c>
      <c r="G17" s="3" t="s">
        <v>115</v>
      </c>
      <c r="H17" s="3" t="s">
        <v>85</v>
      </c>
    </row>
    <row r="18" spans="1:8" ht="30" customHeight="1">
      <c r="A18" s="4" t="s">
        <v>78</v>
      </c>
      <c r="B18" s="4" t="s">
        <v>85</v>
      </c>
      <c r="C18" s="4" t="s">
        <v>85</v>
      </c>
      <c r="D18" s="4" t="s">
        <v>85</v>
      </c>
      <c r="E18" s="4" t="s">
        <v>116</v>
      </c>
      <c r="F18" s="4" t="s">
        <v>117</v>
      </c>
      <c r="G18" s="4" t="s">
        <v>117</v>
      </c>
      <c r="H18" s="4" t="s">
        <v>85</v>
      </c>
    </row>
    <row r="19" spans="1:8" ht="30" customHeight="1">
      <c r="A19" s="3" t="s">
        <v>78</v>
      </c>
      <c r="B19" s="3" t="s">
        <v>85</v>
      </c>
      <c r="C19" s="3" t="s">
        <v>85</v>
      </c>
      <c r="D19" s="3" t="s">
        <v>85</v>
      </c>
      <c r="E19" s="3" t="s">
        <v>118</v>
      </c>
      <c r="F19" s="3" t="s">
        <v>119</v>
      </c>
      <c r="G19" s="3" t="s">
        <v>119</v>
      </c>
      <c r="H19" s="3" t="s">
        <v>85</v>
      </c>
    </row>
    <row r="20" spans="1:8" ht="48" customHeight="1">
      <c r="A20" s="4" t="s">
        <v>78</v>
      </c>
      <c r="B20" s="4" t="s">
        <v>120</v>
      </c>
      <c r="C20" s="4" t="s">
        <v>80</v>
      </c>
      <c r="D20" s="4" t="s">
        <v>121</v>
      </c>
      <c r="E20" s="4" t="s">
        <v>122</v>
      </c>
      <c r="F20" s="4" t="s">
        <v>123</v>
      </c>
      <c r="G20" s="4" t="s">
        <v>123</v>
      </c>
      <c r="H20" s="4" t="s">
        <v>124</v>
      </c>
    </row>
    <row r="21" spans="1:8" ht="30" customHeight="1">
      <c r="A21" s="3" t="s">
        <v>78</v>
      </c>
      <c r="B21" s="3" t="s">
        <v>85</v>
      </c>
      <c r="C21" s="3" t="s">
        <v>85</v>
      </c>
      <c r="D21" s="3" t="s">
        <v>85</v>
      </c>
      <c r="E21" s="3" t="s">
        <v>125</v>
      </c>
      <c r="F21" s="3" t="s">
        <v>126</v>
      </c>
      <c r="G21" s="3" t="s">
        <v>126</v>
      </c>
      <c r="H21" s="3" t="s">
        <v>85</v>
      </c>
    </row>
    <row r="22" spans="1:8" ht="30" customHeight="1">
      <c r="A22" s="4" t="s">
        <v>78</v>
      </c>
      <c r="B22" s="4" t="s">
        <v>85</v>
      </c>
      <c r="C22" s="4" t="s">
        <v>85</v>
      </c>
      <c r="D22" s="4" t="s">
        <v>85</v>
      </c>
      <c r="E22" s="4" t="s">
        <v>127</v>
      </c>
      <c r="F22" s="4" t="s">
        <v>123</v>
      </c>
      <c r="G22" s="4" t="s">
        <v>123</v>
      </c>
      <c r="H22" s="4" t="s">
        <v>85</v>
      </c>
    </row>
    <row r="23" spans="1:8" ht="30" customHeight="1">
      <c r="A23" s="3" t="s">
        <v>78</v>
      </c>
      <c r="B23" s="3" t="s">
        <v>85</v>
      </c>
      <c r="C23" s="3" t="s">
        <v>85</v>
      </c>
      <c r="D23" s="3" t="s">
        <v>85</v>
      </c>
      <c r="E23" s="3" t="s">
        <v>128</v>
      </c>
      <c r="F23" s="3" t="s">
        <v>129</v>
      </c>
      <c r="G23" s="3" t="s">
        <v>129</v>
      </c>
      <c r="H23" s="3" t="s">
        <v>85</v>
      </c>
    </row>
    <row r="24" spans="1:8" ht="30" customHeight="1">
      <c r="A24" s="4" t="s">
        <v>78</v>
      </c>
      <c r="B24" s="4" t="s">
        <v>85</v>
      </c>
      <c r="C24" s="4" t="s">
        <v>85</v>
      </c>
      <c r="D24" s="4" t="s">
        <v>85</v>
      </c>
      <c r="E24" s="4" t="s">
        <v>130</v>
      </c>
      <c r="F24" s="4" t="s">
        <v>126</v>
      </c>
      <c r="G24" s="4" t="s">
        <v>126</v>
      </c>
      <c r="H24" s="4" t="s">
        <v>85</v>
      </c>
    </row>
    <row r="25" spans="1:8" ht="30" customHeight="1">
      <c r="A25" s="3" t="s">
        <v>78</v>
      </c>
      <c r="B25" s="3" t="s">
        <v>85</v>
      </c>
      <c r="C25" s="3" t="s">
        <v>85</v>
      </c>
      <c r="D25" s="3" t="s">
        <v>85</v>
      </c>
      <c r="E25" s="3" t="s">
        <v>131</v>
      </c>
      <c r="F25" s="3" t="s">
        <v>129</v>
      </c>
      <c r="G25" s="3" t="s">
        <v>129</v>
      </c>
      <c r="H25" s="3" t="s">
        <v>85</v>
      </c>
    </row>
    <row r="26" spans="1:8" ht="30" customHeight="1">
      <c r="A26" s="4" t="s">
        <v>78</v>
      </c>
      <c r="B26" s="4" t="s">
        <v>85</v>
      </c>
      <c r="C26" s="4" t="s">
        <v>85</v>
      </c>
      <c r="D26" s="4" t="s">
        <v>85</v>
      </c>
      <c r="E26" s="4" t="s">
        <v>132</v>
      </c>
      <c r="F26" s="4" t="s">
        <v>133</v>
      </c>
      <c r="G26" s="4" t="s">
        <v>133</v>
      </c>
      <c r="H26" s="4" t="s">
        <v>85</v>
      </c>
    </row>
    <row r="27" spans="1:8" ht="30" customHeight="1">
      <c r="A27" s="3" t="s">
        <v>78</v>
      </c>
      <c r="B27" s="3" t="s">
        <v>85</v>
      </c>
      <c r="C27" s="3" t="s">
        <v>85</v>
      </c>
      <c r="D27" s="3" t="s">
        <v>85</v>
      </c>
      <c r="E27" s="3" t="s">
        <v>134</v>
      </c>
      <c r="F27" s="3" t="s">
        <v>135</v>
      </c>
      <c r="G27" s="3" t="s">
        <v>135</v>
      </c>
      <c r="H27" s="3" t="s">
        <v>85</v>
      </c>
    </row>
    <row r="28" spans="1:8" ht="30" customHeight="1">
      <c r="A28" s="4" t="s">
        <v>78</v>
      </c>
      <c r="B28" s="4" t="s">
        <v>85</v>
      </c>
      <c r="C28" s="4" t="s">
        <v>85</v>
      </c>
      <c r="D28" s="4" t="s">
        <v>85</v>
      </c>
      <c r="E28" s="4" t="s">
        <v>136</v>
      </c>
      <c r="F28" s="4" t="s">
        <v>137</v>
      </c>
      <c r="G28" s="4" t="s">
        <v>137</v>
      </c>
      <c r="H28" s="4" t="s">
        <v>85</v>
      </c>
    </row>
    <row r="29" spans="1:8" ht="30" customHeight="1">
      <c r="A29" s="3" t="s">
        <v>78</v>
      </c>
      <c r="B29" s="3" t="s">
        <v>85</v>
      </c>
      <c r="C29" s="3" t="s">
        <v>85</v>
      </c>
      <c r="D29" s="3" t="s">
        <v>85</v>
      </c>
      <c r="E29" s="3" t="s">
        <v>138</v>
      </c>
      <c r="F29" s="3" t="s">
        <v>135</v>
      </c>
      <c r="G29" s="3" t="s">
        <v>135</v>
      </c>
      <c r="H29" s="3" t="s">
        <v>85</v>
      </c>
    </row>
    <row r="30" spans="1:8" ht="30" customHeight="1">
      <c r="A30" s="4" t="s">
        <v>78</v>
      </c>
      <c r="B30" s="4" t="s">
        <v>85</v>
      </c>
      <c r="C30" s="4" t="s">
        <v>85</v>
      </c>
      <c r="D30" s="4" t="s">
        <v>85</v>
      </c>
      <c r="E30" s="4" t="s">
        <v>139</v>
      </c>
      <c r="F30" s="4" t="s">
        <v>140</v>
      </c>
      <c r="G30" s="4" t="s">
        <v>140</v>
      </c>
      <c r="H30" s="4" t="s">
        <v>85</v>
      </c>
    </row>
    <row r="31" spans="1:8" ht="30" customHeight="1">
      <c r="A31" s="3" t="s">
        <v>78</v>
      </c>
      <c r="B31" s="3" t="s">
        <v>85</v>
      </c>
      <c r="C31" s="3" t="s">
        <v>85</v>
      </c>
      <c r="D31" s="3" t="s">
        <v>85</v>
      </c>
      <c r="E31" s="3" t="s">
        <v>141</v>
      </c>
      <c r="F31" s="3" t="s">
        <v>137</v>
      </c>
      <c r="G31" s="3" t="s">
        <v>137</v>
      </c>
      <c r="H31" s="3" t="s">
        <v>85</v>
      </c>
    </row>
    <row r="32" spans="1:8" ht="30" customHeight="1">
      <c r="A32" s="4" t="s">
        <v>78</v>
      </c>
      <c r="B32" s="4" t="s">
        <v>85</v>
      </c>
      <c r="C32" s="4" t="s">
        <v>85</v>
      </c>
      <c r="D32" s="4" t="s">
        <v>85</v>
      </c>
      <c r="E32" s="4" t="s">
        <v>142</v>
      </c>
      <c r="F32" s="4" t="s">
        <v>143</v>
      </c>
      <c r="G32" s="4" t="s">
        <v>143</v>
      </c>
      <c r="H32" s="4" t="s">
        <v>85</v>
      </c>
    </row>
    <row r="33" spans="1:8" ht="30" customHeight="1">
      <c r="A33" s="3" t="s">
        <v>78</v>
      </c>
      <c r="B33" s="3" t="s">
        <v>85</v>
      </c>
      <c r="C33" s="3" t="s">
        <v>85</v>
      </c>
      <c r="D33" s="3" t="s">
        <v>85</v>
      </c>
      <c r="E33" s="3" t="s">
        <v>144</v>
      </c>
      <c r="F33" s="3" t="s">
        <v>140</v>
      </c>
      <c r="G33" s="3" t="s">
        <v>140</v>
      </c>
      <c r="H33" s="3" t="s">
        <v>85</v>
      </c>
    </row>
    <row r="34" spans="1:8" ht="48" customHeight="1">
      <c r="A34" s="4" t="s">
        <v>78</v>
      </c>
      <c r="B34" s="4" t="s">
        <v>145</v>
      </c>
      <c r="C34" s="4" t="s">
        <v>80</v>
      </c>
      <c r="D34" s="4" t="s">
        <v>146</v>
      </c>
      <c r="E34" s="4" t="s">
        <v>147</v>
      </c>
      <c r="F34" s="4" t="s">
        <v>148</v>
      </c>
      <c r="G34" s="4" t="s">
        <v>148</v>
      </c>
      <c r="H34" s="4" t="s">
        <v>149</v>
      </c>
    </row>
    <row r="35" spans="1:8" ht="30" customHeight="1">
      <c r="A35" s="3" t="s">
        <v>78</v>
      </c>
      <c r="B35" s="3" t="s">
        <v>85</v>
      </c>
      <c r="C35" s="3" t="s">
        <v>85</v>
      </c>
      <c r="D35" s="3" t="s">
        <v>85</v>
      </c>
      <c r="E35" s="3" t="s">
        <v>150</v>
      </c>
      <c r="F35" s="3" t="s">
        <v>151</v>
      </c>
      <c r="G35" s="3" t="s">
        <v>151</v>
      </c>
      <c r="H35" s="3" t="s">
        <v>85</v>
      </c>
    </row>
    <row r="36" spans="1:8" ht="30" customHeight="1">
      <c r="A36" s="4" t="s">
        <v>78</v>
      </c>
      <c r="B36" s="4" t="s">
        <v>85</v>
      </c>
      <c r="C36" s="4" t="s">
        <v>85</v>
      </c>
      <c r="D36" s="4" t="s">
        <v>85</v>
      </c>
      <c r="E36" s="4" t="s">
        <v>152</v>
      </c>
      <c r="F36" s="4" t="s">
        <v>153</v>
      </c>
      <c r="G36" s="4" t="s">
        <v>153</v>
      </c>
      <c r="H36" s="4" t="s">
        <v>85</v>
      </c>
    </row>
    <row r="37" spans="1:8" ht="30" customHeight="1">
      <c r="A37" s="3" t="s">
        <v>78</v>
      </c>
      <c r="B37" s="3" t="s">
        <v>85</v>
      </c>
      <c r="C37" s="3" t="s">
        <v>85</v>
      </c>
      <c r="D37" s="3" t="s">
        <v>85</v>
      </c>
      <c r="E37" s="3" t="s">
        <v>154</v>
      </c>
      <c r="F37" s="3" t="s">
        <v>155</v>
      </c>
      <c r="G37" s="3" t="s">
        <v>155</v>
      </c>
      <c r="H37" s="3" t="s">
        <v>85</v>
      </c>
    </row>
    <row r="38" spans="1:8" ht="84" customHeight="1">
      <c r="A38" s="4" t="s">
        <v>78</v>
      </c>
      <c r="B38" s="4" t="s">
        <v>156</v>
      </c>
      <c r="C38" s="4" t="s">
        <v>80</v>
      </c>
      <c r="D38" s="4" t="s">
        <v>157</v>
      </c>
      <c r="E38" s="4" t="s">
        <v>158</v>
      </c>
      <c r="F38" s="4" t="s">
        <v>159</v>
      </c>
      <c r="G38" s="4" t="s">
        <v>159</v>
      </c>
      <c r="H38" s="4" t="s">
        <v>160</v>
      </c>
    </row>
    <row r="39" spans="1:8" ht="30" customHeight="1">
      <c r="A39" s="3" t="s">
        <v>78</v>
      </c>
      <c r="B39" s="3" t="s">
        <v>85</v>
      </c>
      <c r="C39" s="3" t="s">
        <v>85</v>
      </c>
      <c r="D39" s="3" t="s">
        <v>85</v>
      </c>
      <c r="E39" s="3" t="s">
        <v>161</v>
      </c>
      <c r="F39" s="3" t="s">
        <v>162</v>
      </c>
      <c r="G39" s="3" t="s">
        <v>162</v>
      </c>
      <c r="H39" s="3" t="s">
        <v>85</v>
      </c>
    </row>
    <row r="40" spans="1:8" ht="48" customHeight="1">
      <c r="A40" s="4" t="s">
        <v>78</v>
      </c>
      <c r="B40" s="4" t="s">
        <v>85</v>
      </c>
      <c r="C40" s="4" t="s">
        <v>85</v>
      </c>
      <c r="D40" s="4" t="s">
        <v>85</v>
      </c>
      <c r="E40" s="4" t="s">
        <v>163</v>
      </c>
      <c r="F40" s="4" t="s">
        <v>164</v>
      </c>
      <c r="G40" s="4" t="s">
        <v>164</v>
      </c>
      <c r="H40" s="4" t="s">
        <v>85</v>
      </c>
    </row>
    <row r="41" spans="1:8" ht="48" customHeight="1">
      <c r="A41" s="3" t="s">
        <v>78</v>
      </c>
      <c r="B41" s="3" t="s">
        <v>85</v>
      </c>
      <c r="C41" s="3" t="s">
        <v>85</v>
      </c>
      <c r="D41" s="3" t="s">
        <v>85</v>
      </c>
      <c r="E41" s="3" t="s">
        <v>165</v>
      </c>
      <c r="F41" s="3" t="s">
        <v>166</v>
      </c>
      <c r="G41" s="3" t="s">
        <v>167</v>
      </c>
      <c r="H41" s="3" t="s">
        <v>85</v>
      </c>
    </row>
    <row r="42" spans="1:8" ht="30" customHeight="1">
      <c r="A42" s="4" t="s">
        <v>78</v>
      </c>
      <c r="B42" s="4" t="s">
        <v>85</v>
      </c>
      <c r="C42" s="4" t="s">
        <v>85</v>
      </c>
      <c r="D42" s="4" t="s">
        <v>85</v>
      </c>
      <c r="E42" s="4" t="s">
        <v>168</v>
      </c>
      <c r="F42" s="4" t="s">
        <v>169</v>
      </c>
      <c r="G42" s="4" t="s">
        <v>169</v>
      </c>
      <c r="H42" s="4" t="s">
        <v>85</v>
      </c>
    </row>
    <row r="43" spans="1:8" ht="48" customHeight="1">
      <c r="A43" s="3" t="s">
        <v>78</v>
      </c>
      <c r="B43" s="3" t="s">
        <v>85</v>
      </c>
      <c r="C43" s="3" t="s">
        <v>85</v>
      </c>
      <c r="D43" s="3" t="s">
        <v>85</v>
      </c>
      <c r="E43" s="3" t="s">
        <v>170</v>
      </c>
      <c r="F43" s="3" t="s">
        <v>171</v>
      </c>
      <c r="G43" s="3" t="s">
        <v>171</v>
      </c>
      <c r="H43" s="3" t="s">
        <v>85</v>
      </c>
    </row>
    <row r="44" spans="1:8" ht="48" customHeight="1">
      <c r="A44" s="4" t="s">
        <v>78</v>
      </c>
      <c r="B44" s="4" t="s">
        <v>85</v>
      </c>
      <c r="C44" s="4" t="s">
        <v>85</v>
      </c>
      <c r="D44" s="4" t="s">
        <v>85</v>
      </c>
      <c r="E44" s="4" t="s">
        <v>172</v>
      </c>
      <c r="F44" s="4" t="s">
        <v>173</v>
      </c>
      <c r="G44" s="4" t="s">
        <v>173</v>
      </c>
      <c r="H44" s="4" t="s">
        <v>85</v>
      </c>
    </row>
    <row r="45" spans="1:8" ht="48" customHeight="1">
      <c r="A45" s="3" t="s">
        <v>78</v>
      </c>
      <c r="B45" s="3" t="s">
        <v>85</v>
      </c>
      <c r="C45" s="3" t="s">
        <v>85</v>
      </c>
      <c r="D45" s="3" t="s">
        <v>85</v>
      </c>
      <c r="E45" s="3" t="s">
        <v>174</v>
      </c>
      <c r="F45" s="3" t="s">
        <v>175</v>
      </c>
      <c r="G45" s="3" t="s">
        <v>175</v>
      </c>
      <c r="H45" s="3" t="s">
        <v>85</v>
      </c>
    </row>
    <row r="46" spans="1:8" ht="48" customHeight="1">
      <c r="A46" s="4" t="s">
        <v>78</v>
      </c>
      <c r="B46" s="4" t="s">
        <v>85</v>
      </c>
      <c r="C46" s="4" t="s">
        <v>85</v>
      </c>
      <c r="D46" s="4" t="s">
        <v>85</v>
      </c>
      <c r="E46" s="4" t="s">
        <v>176</v>
      </c>
      <c r="F46" s="4" t="s">
        <v>171</v>
      </c>
      <c r="G46" s="4" t="s">
        <v>171</v>
      </c>
      <c r="H46" s="4" t="s">
        <v>85</v>
      </c>
    </row>
    <row r="47" spans="1:8" ht="48" customHeight="1">
      <c r="A47" s="3" t="s">
        <v>78</v>
      </c>
      <c r="B47" s="3" t="s">
        <v>85</v>
      </c>
      <c r="C47" s="3" t="s">
        <v>85</v>
      </c>
      <c r="D47" s="3" t="s">
        <v>85</v>
      </c>
      <c r="E47" s="3" t="s">
        <v>177</v>
      </c>
      <c r="F47" s="3" t="s">
        <v>173</v>
      </c>
      <c r="G47" s="3" t="s">
        <v>173</v>
      </c>
      <c r="H47" s="3" t="s">
        <v>85</v>
      </c>
    </row>
    <row r="48" spans="1:8" ht="30" customHeight="1">
      <c r="A48" s="4" t="s">
        <v>78</v>
      </c>
      <c r="B48" s="4" t="s">
        <v>85</v>
      </c>
      <c r="C48" s="4" t="s">
        <v>85</v>
      </c>
      <c r="D48" s="4" t="s">
        <v>85</v>
      </c>
      <c r="E48" s="4" t="s">
        <v>178</v>
      </c>
      <c r="F48" s="4" t="s">
        <v>179</v>
      </c>
      <c r="G48" s="4" t="s">
        <v>179</v>
      </c>
      <c r="H48" s="4" t="s">
        <v>85</v>
      </c>
    </row>
    <row r="49" spans="1:8" ht="48" customHeight="1">
      <c r="A49" s="3" t="s">
        <v>78</v>
      </c>
      <c r="B49" s="3" t="s">
        <v>180</v>
      </c>
      <c r="C49" s="3" t="s">
        <v>80</v>
      </c>
      <c r="D49" s="3" t="s">
        <v>181</v>
      </c>
      <c r="E49" s="3" t="s">
        <v>182</v>
      </c>
      <c r="F49" s="3" t="s">
        <v>183</v>
      </c>
      <c r="G49" s="3" t="s">
        <v>183</v>
      </c>
      <c r="H49" s="3" t="s">
        <v>184</v>
      </c>
    </row>
    <row r="50" spans="1:8" ht="66" customHeight="1">
      <c r="A50" s="4" t="s">
        <v>78</v>
      </c>
      <c r="B50" s="4" t="s">
        <v>185</v>
      </c>
      <c r="C50" s="4" t="s">
        <v>186</v>
      </c>
      <c r="D50" s="4" t="s">
        <v>187</v>
      </c>
      <c r="E50" s="4" t="s">
        <v>188</v>
      </c>
      <c r="F50" s="4" t="s">
        <v>189</v>
      </c>
      <c r="G50" s="4" t="s">
        <v>189</v>
      </c>
      <c r="H50" s="4" t="s">
        <v>190</v>
      </c>
    </row>
    <row r="51" spans="1:8" ht="30" customHeight="1">
      <c r="A51" s="3" t="s">
        <v>78</v>
      </c>
      <c r="B51" s="3" t="s">
        <v>85</v>
      </c>
      <c r="C51" s="3" t="s">
        <v>85</v>
      </c>
      <c r="D51" s="3" t="s">
        <v>85</v>
      </c>
      <c r="E51" s="3" t="s">
        <v>191</v>
      </c>
      <c r="F51" s="3" t="s">
        <v>192</v>
      </c>
      <c r="G51" s="3" t="s">
        <v>192</v>
      </c>
      <c r="H51" s="3" t="s">
        <v>85</v>
      </c>
    </row>
    <row r="52" spans="1:8" ht="30" customHeight="1">
      <c r="A52" s="4" t="s">
        <v>78</v>
      </c>
      <c r="B52" s="4" t="s">
        <v>85</v>
      </c>
      <c r="C52" s="4" t="s">
        <v>85</v>
      </c>
      <c r="D52" s="4" t="s">
        <v>85</v>
      </c>
      <c r="E52" s="4" t="s">
        <v>193</v>
      </c>
      <c r="F52" s="4" t="s">
        <v>194</v>
      </c>
      <c r="G52" s="4" t="s">
        <v>194</v>
      </c>
      <c r="H52" s="4" t="s">
        <v>85</v>
      </c>
    </row>
    <row r="53" spans="1:8" ht="30" customHeight="1">
      <c r="A53" s="3" t="s">
        <v>78</v>
      </c>
      <c r="B53" s="3" t="s">
        <v>85</v>
      </c>
      <c r="C53" s="3" t="s">
        <v>85</v>
      </c>
      <c r="D53" s="3" t="s">
        <v>85</v>
      </c>
      <c r="E53" s="3" t="s">
        <v>195</v>
      </c>
      <c r="F53" s="3" t="s">
        <v>194</v>
      </c>
      <c r="G53" s="3" t="s">
        <v>194</v>
      </c>
      <c r="H53" s="3" t="s">
        <v>85</v>
      </c>
    </row>
    <row r="54" spans="1:8" ht="48" customHeight="1">
      <c r="A54" s="4" t="s">
        <v>78</v>
      </c>
      <c r="B54" s="4" t="s">
        <v>196</v>
      </c>
      <c r="C54" s="4" t="s">
        <v>80</v>
      </c>
      <c r="D54" s="4" t="s">
        <v>197</v>
      </c>
      <c r="E54" s="4" t="s">
        <v>198</v>
      </c>
      <c r="F54" s="4" t="s">
        <v>199</v>
      </c>
      <c r="G54" s="4" t="s">
        <v>199</v>
      </c>
      <c r="H54" s="4" t="s">
        <v>85</v>
      </c>
    </row>
    <row r="55" spans="1:8" ht="30" customHeight="1">
      <c r="A55" s="3" t="s">
        <v>78</v>
      </c>
      <c r="B55" s="3" t="s">
        <v>85</v>
      </c>
      <c r="C55" s="3" t="s">
        <v>85</v>
      </c>
      <c r="D55" s="3" t="s">
        <v>85</v>
      </c>
      <c r="E55" s="3" t="s">
        <v>200</v>
      </c>
      <c r="F55" s="3" t="s">
        <v>201</v>
      </c>
      <c r="G55" s="3" t="s">
        <v>201</v>
      </c>
      <c r="H55" s="3" t="s">
        <v>85</v>
      </c>
    </row>
    <row r="56" spans="1:8" ht="30" customHeight="1">
      <c r="A56" s="4" t="s">
        <v>78</v>
      </c>
      <c r="B56" s="4" t="s">
        <v>85</v>
      </c>
      <c r="C56" s="4" t="s">
        <v>85</v>
      </c>
      <c r="D56" s="4" t="s">
        <v>85</v>
      </c>
      <c r="E56" s="4" t="s">
        <v>202</v>
      </c>
      <c r="F56" s="4" t="s">
        <v>203</v>
      </c>
      <c r="G56" s="4" t="s">
        <v>203</v>
      </c>
      <c r="H56" s="4" t="s">
        <v>85</v>
      </c>
    </row>
    <row r="57" spans="1:8" ht="30" customHeight="1">
      <c r="A57" s="3" t="s">
        <v>78</v>
      </c>
      <c r="B57" s="3" t="s">
        <v>85</v>
      </c>
      <c r="C57" s="3" t="s">
        <v>85</v>
      </c>
      <c r="D57" s="3" t="s">
        <v>85</v>
      </c>
      <c r="E57" s="3" t="s">
        <v>204</v>
      </c>
      <c r="F57" s="3" t="s">
        <v>205</v>
      </c>
      <c r="G57" s="3" t="s">
        <v>205</v>
      </c>
      <c r="H57" s="3" t="s">
        <v>85</v>
      </c>
    </row>
    <row r="58" spans="1:8" ht="30" customHeight="1">
      <c r="A58" s="4" t="s">
        <v>78</v>
      </c>
      <c r="B58" s="4" t="s">
        <v>85</v>
      </c>
      <c r="C58" s="4" t="s">
        <v>85</v>
      </c>
      <c r="D58" s="4" t="s">
        <v>85</v>
      </c>
      <c r="E58" s="4" t="s">
        <v>206</v>
      </c>
      <c r="F58" s="4" t="s">
        <v>207</v>
      </c>
      <c r="G58" s="4" t="s">
        <v>207</v>
      </c>
      <c r="H58" s="4" t="s">
        <v>85</v>
      </c>
    </row>
    <row r="59" spans="1:8" ht="48" customHeight="1">
      <c r="A59" s="3" t="s">
        <v>78</v>
      </c>
      <c r="B59" s="3" t="s">
        <v>208</v>
      </c>
      <c r="C59" s="3" t="s">
        <v>80</v>
      </c>
      <c r="D59" s="3" t="s">
        <v>209</v>
      </c>
      <c r="E59" s="3" t="s">
        <v>210</v>
      </c>
      <c r="F59" s="3" t="s">
        <v>211</v>
      </c>
      <c r="G59" s="3" t="s">
        <v>211</v>
      </c>
      <c r="H59" s="3" t="s">
        <v>212</v>
      </c>
    </row>
    <row r="60" spans="1:8" ht="48" customHeight="1">
      <c r="A60" s="4" t="s">
        <v>78</v>
      </c>
      <c r="B60" s="4" t="s">
        <v>85</v>
      </c>
      <c r="C60" s="4" t="s">
        <v>85</v>
      </c>
      <c r="D60" s="4" t="s">
        <v>85</v>
      </c>
      <c r="E60" s="4" t="s">
        <v>213</v>
      </c>
      <c r="F60" s="4" t="s">
        <v>214</v>
      </c>
      <c r="G60" s="4" t="s">
        <v>214</v>
      </c>
      <c r="H60" s="4" t="s">
        <v>85</v>
      </c>
    </row>
    <row r="61" spans="1:8" ht="30" customHeight="1">
      <c r="A61" s="3" t="s">
        <v>78</v>
      </c>
      <c r="B61" s="3" t="s">
        <v>85</v>
      </c>
      <c r="C61" s="3" t="s">
        <v>85</v>
      </c>
      <c r="D61" s="3" t="s">
        <v>85</v>
      </c>
      <c r="E61" s="3" t="s">
        <v>215</v>
      </c>
      <c r="F61" s="3" t="s">
        <v>216</v>
      </c>
      <c r="G61" s="3" t="s">
        <v>216</v>
      </c>
      <c r="H61" s="3" t="s">
        <v>85</v>
      </c>
    </row>
    <row r="62" spans="1:8" ht="30" customHeight="1">
      <c r="A62" s="4" t="s">
        <v>78</v>
      </c>
      <c r="B62" s="4" t="s">
        <v>85</v>
      </c>
      <c r="C62" s="4" t="s">
        <v>85</v>
      </c>
      <c r="D62" s="4" t="s">
        <v>85</v>
      </c>
      <c r="E62" s="4" t="s">
        <v>217</v>
      </c>
      <c r="F62" s="4" t="s">
        <v>218</v>
      </c>
      <c r="G62" s="4" t="s">
        <v>218</v>
      </c>
      <c r="H62" s="4" t="s">
        <v>85</v>
      </c>
    </row>
    <row r="63" spans="1:8" ht="30" customHeight="1">
      <c r="A63" s="3" t="s">
        <v>78</v>
      </c>
      <c r="B63" s="3" t="s">
        <v>85</v>
      </c>
      <c r="C63" s="3" t="s">
        <v>85</v>
      </c>
      <c r="D63" s="3" t="s">
        <v>85</v>
      </c>
      <c r="E63" s="3" t="s">
        <v>219</v>
      </c>
      <c r="F63" s="3" t="s">
        <v>220</v>
      </c>
      <c r="G63" s="3" t="s">
        <v>220</v>
      </c>
      <c r="H63" s="3" t="s">
        <v>85</v>
      </c>
    </row>
    <row r="64" spans="1:8" ht="30" customHeight="1">
      <c r="A64" s="4" t="s">
        <v>78</v>
      </c>
      <c r="B64" s="4" t="s">
        <v>85</v>
      </c>
      <c r="C64" s="4" t="s">
        <v>85</v>
      </c>
      <c r="D64" s="4" t="s">
        <v>85</v>
      </c>
      <c r="E64" s="4" t="s">
        <v>221</v>
      </c>
      <c r="F64" s="4" t="s">
        <v>222</v>
      </c>
      <c r="G64" s="4" t="s">
        <v>222</v>
      </c>
      <c r="H64" s="4" t="s">
        <v>85</v>
      </c>
    </row>
    <row r="65" spans="1:8" ht="48" customHeight="1">
      <c r="A65" s="3" t="s">
        <v>78</v>
      </c>
      <c r="B65" s="3" t="s">
        <v>223</v>
      </c>
      <c r="C65" s="3" t="s">
        <v>80</v>
      </c>
      <c r="D65" s="3" t="s">
        <v>224</v>
      </c>
      <c r="E65" s="3" t="s">
        <v>225</v>
      </c>
      <c r="F65" s="3" t="s">
        <v>226</v>
      </c>
      <c r="G65" s="3" t="s">
        <v>226</v>
      </c>
      <c r="H65" s="3" t="s">
        <v>227</v>
      </c>
    </row>
    <row r="66" spans="1:8" ht="30" customHeight="1">
      <c r="A66" s="4" t="s">
        <v>78</v>
      </c>
      <c r="B66" s="4" t="s">
        <v>85</v>
      </c>
      <c r="C66" s="4" t="s">
        <v>85</v>
      </c>
      <c r="D66" s="4" t="s">
        <v>85</v>
      </c>
      <c r="E66" s="4" t="s">
        <v>228</v>
      </c>
      <c r="F66" s="4" t="s">
        <v>229</v>
      </c>
      <c r="G66" s="4" t="s">
        <v>229</v>
      </c>
      <c r="H66" s="4" t="s">
        <v>85</v>
      </c>
    </row>
    <row r="67" spans="1:8" ht="30" customHeight="1">
      <c r="A67" s="3" t="s">
        <v>78</v>
      </c>
      <c r="B67" s="3" t="s">
        <v>85</v>
      </c>
      <c r="C67" s="3" t="s">
        <v>85</v>
      </c>
      <c r="D67" s="3" t="s">
        <v>85</v>
      </c>
      <c r="E67" s="3" t="s">
        <v>230</v>
      </c>
      <c r="F67" s="3" t="s">
        <v>231</v>
      </c>
      <c r="G67" s="3" t="s">
        <v>231</v>
      </c>
      <c r="H67" s="3" t="s">
        <v>85</v>
      </c>
    </row>
    <row r="68" spans="1:8" ht="30" customHeight="1">
      <c r="A68" s="4" t="s">
        <v>78</v>
      </c>
      <c r="B68" s="4" t="s">
        <v>85</v>
      </c>
      <c r="C68" s="4" t="s">
        <v>85</v>
      </c>
      <c r="D68" s="4" t="s">
        <v>85</v>
      </c>
      <c r="E68" s="4" t="s">
        <v>232</v>
      </c>
      <c r="F68" s="4" t="s">
        <v>233</v>
      </c>
      <c r="G68" s="4" t="s">
        <v>233</v>
      </c>
      <c r="H68" s="4" t="s">
        <v>85</v>
      </c>
    </row>
    <row r="69" spans="1:8" ht="30" customHeight="1">
      <c r="A69" s="3" t="s">
        <v>78</v>
      </c>
      <c r="B69" s="3" t="s">
        <v>85</v>
      </c>
      <c r="C69" s="3" t="s">
        <v>85</v>
      </c>
      <c r="D69" s="3" t="s">
        <v>85</v>
      </c>
      <c r="E69" s="3" t="s">
        <v>234</v>
      </c>
      <c r="F69" s="3" t="s">
        <v>235</v>
      </c>
      <c r="G69" s="3" t="s">
        <v>235</v>
      </c>
      <c r="H69" s="3" t="s">
        <v>85</v>
      </c>
    </row>
    <row r="70" spans="1:8" ht="48" customHeight="1">
      <c r="A70" s="4" t="s">
        <v>78</v>
      </c>
      <c r="B70" s="4" t="s">
        <v>236</v>
      </c>
      <c r="C70" s="4" t="s">
        <v>80</v>
      </c>
      <c r="D70" s="4" t="s">
        <v>237</v>
      </c>
      <c r="E70" s="4" t="s">
        <v>238</v>
      </c>
      <c r="F70" s="4" t="s">
        <v>239</v>
      </c>
      <c r="G70" s="4" t="s">
        <v>239</v>
      </c>
      <c r="H70" s="4" t="s">
        <v>85</v>
      </c>
    </row>
    <row r="71" spans="1:8" ht="30" customHeight="1">
      <c r="A71" s="3" t="s">
        <v>78</v>
      </c>
      <c r="B71" s="3" t="s">
        <v>85</v>
      </c>
      <c r="C71" s="3" t="s">
        <v>85</v>
      </c>
      <c r="D71" s="3" t="s">
        <v>85</v>
      </c>
      <c r="E71" s="3" t="s">
        <v>240</v>
      </c>
      <c r="F71" s="3" t="s">
        <v>241</v>
      </c>
      <c r="G71" s="3" t="s">
        <v>241</v>
      </c>
      <c r="H71" s="3" t="s">
        <v>85</v>
      </c>
    </row>
    <row r="72" spans="1:8" ht="48" customHeight="1">
      <c r="A72" s="4" t="s">
        <v>78</v>
      </c>
      <c r="B72" s="4" t="s">
        <v>242</v>
      </c>
      <c r="C72" s="4" t="s">
        <v>80</v>
      </c>
      <c r="D72" s="4" t="s">
        <v>243</v>
      </c>
      <c r="E72" s="4" t="s">
        <v>238</v>
      </c>
      <c r="F72" s="4" t="s">
        <v>244</v>
      </c>
      <c r="G72" s="4" t="s">
        <v>244</v>
      </c>
      <c r="H72" s="4" t="s">
        <v>85</v>
      </c>
    </row>
    <row r="73" spans="1:8" ht="30" customHeight="1">
      <c r="A73" s="3" t="s">
        <v>78</v>
      </c>
      <c r="B73" s="3" t="s">
        <v>85</v>
      </c>
      <c r="C73" s="3" t="s">
        <v>85</v>
      </c>
      <c r="D73" s="3" t="s">
        <v>85</v>
      </c>
      <c r="E73" s="3" t="s">
        <v>240</v>
      </c>
      <c r="F73" s="3" t="s">
        <v>245</v>
      </c>
      <c r="G73" s="3" t="s">
        <v>245</v>
      </c>
      <c r="H73" s="3" t="s">
        <v>85</v>
      </c>
    </row>
    <row r="74" spans="1:8" ht="48" customHeight="1">
      <c r="A74" s="4" t="s">
        <v>78</v>
      </c>
      <c r="B74" s="4" t="s">
        <v>246</v>
      </c>
      <c r="C74" s="4" t="s">
        <v>80</v>
      </c>
      <c r="D74" s="4" t="s">
        <v>247</v>
      </c>
      <c r="E74" s="4" t="s">
        <v>238</v>
      </c>
      <c r="F74" s="4" t="s">
        <v>248</v>
      </c>
      <c r="G74" s="4" t="s">
        <v>248</v>
      </c>
      <c r="H74" s="4" t="s">
        <v>85</v>
      </c>
    </row>
    <row r="75" spans="1:8" ht="30" customHeight="1">
      <c r="A75" s="3" t="s">
        <v>78</v>
      </c>
      <c r="B75" s="3" t="s">
        <v>85</v>
      </c>
      <c r="C75" s="3" t="s">
        <v>85</v>
      </c>
      <c r="D75" s="3" t="s">
        <v>85</v>
      </c>
      <c r="E75" s="3" t="s">
        <v>240</v>
      </c>
      <c r="F75" s="3" t="s">
        <v>249</v>
      </c>
      <c r="G75" s="3" t="s">
        <v>249</v>
      </c>
      <c r="H75" s="3" t="s">
        <v>85</v>
      </c>
    </row>
    <row r="76" spans="1:8" ht="48" customHeight="1">
      <c r="A76" s="4" t="s">
        <v>78</v>
      </c>
      <c r="B76" s="4" t="s">
        <v>250</v>
      </c>
      <c r="C76" s="4" t="s">
        <v>80</v>
      </c>
      <c r="D76" s="4" t="s">
        <v>251</v>
      </c>
      <c r="E76" s="4" t="s">
        <v>252</v>
      </c>
      <c r="F76" s="4" t="s">
        <v>253</v>
      </c>
      <c r="G76" s="4" t="s">
        <v>253</v>
      </c>
      <c r="H76" s="4" t="s">
        <v>254</v>
      </c>
    </row>
    <row r="77" spans="1:8" ht="30" customHeight="1">
      <c r="A77" s="3" t="s">
        <v>78</v>
      </c>
      <c r="B77" s="3" t="s">
        <v>85</v>
      </c>
      <c r="C77" s="3" t="s">
        <v>85</v>
      </c>
      <c r="D77" s="3" t="s">
        <v>85</v>
      </c>
      <c r="E77" s="3" t="s">
        <v>255</v>
      </c>
      <c r="F77" s="3" t="s">
        <v>256</v>
      </c>
      <c r="G77" s="3" t="s">
        <v>256</v>
      </c>
      <c r="H77" s="3" t="s">
        <v>85</v>
      </c>
    </row>
    <row r="78" spans="1:8" ht="30" customHeight="1">
      <c r="A78" s="4" t="s">
        <v>78</v>
      </c>
      <c r="B78" s="4" t="s">
        <v>85</v>
      </c>
      <c r="C78" s="4" t="s">
        <v>85</v>
      </c>
      <c r="D78" s="4" t="s">
        <v>85</v>
      </c>
      <c r="E78" s="4" t="s">
        <v>257</v>
      </c>
      <c r="F78" s="4" t="s">
        <v>258</v>
      </c>
      <c r="G78" s="4" t="s">
        <v>258</v>
      </c>
      <c r="H78" s="4" t="s">
        <v>85</v>
      </c>
    </row>
    <row r="79" spans="1:8" ht="30" customHeight="1">
      <c r="A79" s="3" t="s">
        <v>78</v>
      </c>
      <c r="B79" s="3" t="s">
        <v>85</v>
      </c>
      <c r="C79" s="3" t="s">
        <v>85</v>
      </c>
      <c r="D79" s="3" t="s">
        <v>85</v>
      </c>
      <c r="E79" s="3" t="s">
        <v>259</v>
      </c>
      <c r="F79" s="3" t="s">
        <v>260</v>
      </c>
      <c r="G79" s="3" t="s">
        <v>260</v>
      </c>
      <c r="H79" s="3" t="s">
        <v>85</v>
      </c>
    </row>
    <row r="80" spans="1:8" ht="48" customHeight="1">
      <c r="A80" s="4" t="s">
        <v>78</v>
      </c>
      <c r="B80" s="4" t="s">
        <v>85</v>
      </c>
      <c r="C80" s="4" t="s">
        <v>85</v>
      </c>
      <c r="D80" s="4" t="s">
        <v>85</v>
      </c>
      <c r="E80" s="4" t="s">
        <v>261</v>
      </c>
      <c r="F80" s="4" t="s">
        <v>262</v>
      </c>
      <c r="G80" s="4" t="s">
        <v>262</v>
      </c>
      <c r="H80" s="4" t="s">
        <v>85</v>
      </c>
    </row>
    <row r="81" spans="1:8" ht="30" customHeight="1">
      <c r="A81" s="3" t="s">
        <v>78</v>
      </c>
      <c r="B81" s="3" t="s">
        <v>85</v>
      </c>
      <c r="C81" s="3" t="s">
        <v>85</v>
      </c>
      <c r="D81" s="3" t="s">
        <v>85</v>
      </c>
      <c r="E81" s="3" t="s">
        <v>263</v>
      </c>
      <c r="F81" s="3" t="s">
        <v>264</v>
      </c>
      <c r="G81" s="3" t="s">
        <v>264</v>
      </c>
      <c r="H81" s="3" t="s">
        <v>85</v>
      </c>
    </row>
    <row r="82" spans="1:8" ht="48" customHeight="1">
      <c r="A82" s="4" t="s">
        <v>78</v>
      </c>
      <c r="B82" s="4" t="s">
        <v>85</v>
      </c>
      <c r="C82" s="4" t="s">
        <v>85</v>
      </c>
      <c r="D82" s="4" t="s">
        <v>85</v>
      </c>
      <c r="E82" s="4" t="s">
        <v>265</v>
      </c>
      <c r="F82" s="4" t="s">
        <v>266</v>
      </c>
      <c r="G82" s="4" t="s">
        <v>266</v>
      </c>
      <c r="H82" s="4" t="s">
        <v>85</v>
      </c>
    </row>
    <row r="83" spans="1:8" ht="30" customHeight="1">
      <c r="A83" s="3" t="s">
        <v>78</v>
      </c>
      <c r="B83" s="3" t="s">
        <v>85</v>
      </c>
      <c r="C83" s="3" t="s">
        <v>85</v>
      </c>
      <c r="D83" s="3" t="s">
        <v>85</v>
      </c>
      <c r="E83" s="3" t="s">
        <v>267</v>
      </c>
      <c r="F83" s="3" t="s">
        <v>268</v>
      </c>
      <c r="G83" s="3" t="s">
        <v>268</v>
      </c>
      <c r="H83" s="3" t="s">
        <v>85</v>
      </c>
    </row>
    <row r="84" spans="1:8" ht="84" customHeight="1">
      <c r="A84" s="4" t="s">
        <v>78</v>
      </c>
      <c r="B84" s="4" t="s">
        <v>85</v>
      </c>
      <c r="C84" s="4" t="s">
        <v>85</v>
      </c>
      <c r="D84" s="4" t="s">
        <v>85</v>
      </c>
      <c r="E84" s="4" t="s">
        <v>269</v>
      </c>
      <c r="F84" s="4" t="s">
        <v>270</v>
      </c>
      <c r="G84" s="4" t="s">
        <v>270</v>
      </c>
      <c r="H84" s="4" t="s">
        <v>85</v>
      </c>
    </row>
    <row r="85" spans="1:8" ht="30" customHeight="1">
      <c r="A85" s="3" t="s">
        <v>78</v>
      </c>
      <c r="B85" s="3" t="s">
        <v>85</v>
      </c>
      <c r="C85" s="3" t="s">
        <v>85</v>
      </c>
      <c r="D85" s="3" t="s">
        <v>85</v>
      </c>
      <c r="E85" s="3" t="s">
        <v>271</v>
      </c>
      <c r="F85" s="3" t="s">
        <v>272</v>
      </c>
      <c r="G85" s="3" t="s">
        <v>272</v>
      </c>
      <c r="H85" s="3" t="s">
        <v>85</v>
      </c>
    </row>
    <row r="86" spans="1:8" ht="30" customHeight="1">
      <c r="A86" s="4" t="s">
        <v>78</v>
      </c>
      <c r="B86" s="4" t="s">
        <v>85</v>
      </c>
      <c r="C86" s="4" t="s">
        <v>85</v>
      </c>
      <c r="D86" s="4" t="s">
        <v>85</v>
      </c>
      <c r="E86" s="4" t="s">
        <v>273</v>
      </c>
      <c r="F86" s="4" t="s">
        <v>274</v>
      </c>
      <c r="G86" s="4" t="s">
        <v>274</v>
      </c>
      <c r="H86" s="4" t="s">
        <v>85</v>
      </c>
    </row>
    <row r="87" spans="1:8" ht="30" customHeight="1">
      <c r="A87" s="3" t="s">
        <v>78</v>
      </c>
      <c r="B87" s="3" t="s">
        <v>85</v>
      </c>
      <c r="C87" s="3" t="s">
        <v>85</v>
      </c>
      <c r="D87" s="3" t="s">
        <v>85</v>
      </c>
      <c r="E87" s="3" t="s">
        <v>275</v>
      </c>
      <c r="F87" s="3" t="s">
        <v>276</v>
      </c>
      <c r="G87" s="3" t="s">
        <v>276</v>
      </c>
      <c r="H87" s="3" t="s">
        <v>85</v>
      </c>
    </row>
    <row r="88" spans="1:8" ht="30" customHeight="1">
      <c r="A88" s="4" t="s">
        <v>78</v>
      </c>
      <c r="B88" s="4" t="s">
        <v>85</v>
      </c>
      <c r="C88" s="4" t="s">
        <v>85</v>
      </c>
      <c r="D88" s="4" t="s">
        <v>85</v>
      </c>
      <c r="E88" s="4" t="s">
        <v>277</v>
      </c>
      <c r="F88" s="4" t="s">
        <v>278</v>
      </c>
      <c r="G88" s="4" t="s">
        <v>278</v>
      </c>
      <c r="H88" s="4" t="s">
        <v>85</v>
      </c>
    </row>
    <row r="89" spans="1:8" ht="48" customHeight="1">
      <c r="A89" s="3" t="s">
        <v>78</v>
      </c>
      <c r="B89" s="3" t="s">
        <v>85</v>
      </c>
      <c r="C89" s="3" t="s">
        <v>85</v>
      </c>
      <c r="D89" s="3" t="s">
        <v>85</v>
      </c>
      <c r="E89" s="3" t="s">
        <v>279</v>
      </c>
      <c r="F89" s="3" t="s">
        <v>280</v>
      </c>
      <c r="G89" s="3" t="s">
        <v>280</v>
      </c>
      <c r="H89" s="3" t="s">
        <v>85</v>
      </c>
    </row>
    <row r="90" spans="1:8" ht="30" customHeight="1">
      <c r="A90" s="4" t="s">
        <v>78</v>
      </c>
      <c r="B90" s="4" t="s">
        <v>85</v>
      </c>
      <c r="C90" s="4" t="s">
        <v>85</v>
      </c>
      <c r="D90" s="4" t="s">
        <v>85</v>
      </c>
      <c r="E90" s="4" t="s">
        <v>281</v>
      </c>
      <c r="F90" s="4" t="s">
        <v>225</v>
      </c>
      <c r="G90" s="4" t="s">
        <v>225</v>
      </c>
      <c r="H90" s="4" t="s">
        <v>85</v>
      </c>
    </row>
    <row r="91" spans="1:8" ht="48" customHeight="1">
      <c r="A91" s="3" t="s">
        <v>78</v>
      </c>
      <c r="B91" s="3" t="s">
        <v>282</v>
      </c>
      <c r="C91" s="3" t="s">
        <v>80</v>
      </c>
      <c r="D91" s="3" t="s">
        <v>283</v>
      </c>
      <c r="E91" s="3" t="s">
        <v>284</v>
      </c>
      <c r="F91" s="3" t="s">
        <v>285</v>
      </c>
      <c r="G91" s="3" t="s">
        <v>285</v>
      </c>
      <c r="H91" s="3" t="s">
        <v>286</v>
      </c>
    </row>
    <row r="92" spans="1:8" ht="30" customHeight="1">
      <c r="A92" s="4" t="s">
        <v>78</v>
      </c>
      <c r="B92" s="4" t="s">
        <v>85</v>
      </c>
      <c r="C92" s="4" t="s">
        <v>85</v>
      </c>
      <c r="D92" s="4" t="s">
        <v>85</v>
      </c>
      <c r="E92" s="4" t="s">
        <v>287</v>
      </c>
      <c r="F92" s="4" t="s">
        <v>288</v>
      </c>
      <c r="G92" s="4" t="s">
        <v>288</v>
      </c>
      <c r="H92" s="4" t="s">
        <v>85</v>
      </c>
    </row>
    <row r="93" spans="1:8" ht="30" customHeight="1">
      <c r="A93" s="3" t="s">
        <v>78</v>
      </c>
      <c r="B93" s="3" t="s">
        <v>85</v>
      </c>
      <c r="C93" s="3" t="s">
        <v>85</v>
      </c>
      <c r="D93" s="3" t="s">
        <v>85</v>
      </c>
      <c r="E93" s="3" t="s">
        <v>289</v>
      </c>
      <c r="F93" s="3" t="s">
        <v>290</v>
      </c>
      <c r="G93" s="3" t="s">
        <v>290</v>
      </c>
      <c r="H93" s="3" t="s">
        <v>85</v>
      </c>
    </row>
    <row r="94" spans="1:8" ht="30" customHeight="1">
      <c r="A94" s="4" t="s">
        <v>78</v>
      </c>
      <c r="B94" s="4" t="s">
        <v>85</v>
      </c>
      <c r="C94" s="4" t="s">
        <v>85</v>
      </c>
      <c r="D94" s="4" t="s">
        <v>85</v>
      </c>
      <c r="E94" s="4" t="s">
        <v>291</v>
      </c>
      <c r="F94" s="4" t="s">
        <v>258</v>
      </c>
      <c r="G94" s="4" t="s">
        <v>258</v>
      </c>
      <c r="H94" s="4" t="s">
        <v>85</v>
      </c>
    </row>
    <row r="95" spans="1:8" ht="30" customHeight="1">
      <c r="A95" s="3" t="s">
        <v>78</v>
      </c>
      <c r="B95" s="3" t="s">
        <v>85</v>
      </c>
      <c r="C95" s="3" t="s">
        <v>85</v>
      </c>
      <c r="D95" s="3" t="s">
        <v>85</v>
      </c>
      <c r="E95" s="3" t="s">
        <v>292</v>
      </c>
      <c r="F95" s="3" t="s">
        <v>293</v>
      </c>
      <c r="G95" s="3" t="s">
        <v>293</v>
      </c>
      <c r="H95" s="3" t="s">
        <v>85</v>
      </c>
    </row>
    <row r="96" spans="1:8" ht="48" customHeight="1">
      <c r="A96" s="4" t="s">
        <v>78</v>
      </c>
      <c r="B96" s="4" t="s">
        <v>85</v>
      </c>
      <c r="C96" s="4" t="s">
        <v>85</v>
      </c>
      <c r="D96" s="4" t="s">
        <v>85</v>
      </c>
      <c r="E96" s="4" t="s">
        <v>294</v>
      </c>
      <c r="F96" s="4" t="s">
        <v>295</v>
      </c>
      <c r="G96" s="4" t="s">
        <v>295</v>
      </c>
      <c r="H96" s="4" t="s">
        <v>85</v>
      </c>
    </row>
    <row r="97" spans="1:8" ht="48" customHeight="1">
      <c r="A97" s="3" t="s">
        <v>78</v>
      </c>
      <c r="B97" s="3" t="s">
        <v>85</v>
      </c>
      <c r="C97" s="3" t="s">
        <v>85</v>
      </c>
      <c r="D97" s="3" t="s">
        <v>85</v>
      </c>
      <c r="E97" s="3" t="s">
        <v>296</v>
      </c>
      <c r="F97" s="3" t="s">
        <v>297</v>
      </c>
      <c r="G97" s="3" t="s">
        <v>297</v>
      </c>
      <c r="H97" s="3" t="s">
        <v>85</v>
      </c>
    </row>
    <row r="98" spans="1:8" ht="48" customHeight="1">
      <c r="A98" s="4" t="s">
        <v>78</v>
      </c>
      <c r="B98" s="4" t="s">
        <v>85</v>
      </c>
      <c r="C98" s="4" t="s">
        <v>85</v>
      </c>
      <c r="D98" s="4" t="s">
        <v>85</v>
      </c>
      <c r="E98" s="4" t="s">
        <v>298</v>
      </c>
      <c r="F98" s="4" t="s">
        <v>299</v>
      </c>
      <c r="G98" s="4" t="s">
        <v>300</v>
      </c>
      <c r="H98" s="4" t="s">
        <v>85</v>
      </c>
    </row>
    <row r="99" spans="1:8" ht="30" customHeight="1">
      <c r="A99" s="3" t="s">
        <v>78</v>
      </c>
      <c r="B99" s="3" t="s">
        <v>85</v>
      </c>
      <c r="C99" s="3" t="s">
        <v>85</v>
      </c>
      <c r="D99" s="3" t="s">
        <v>85</v>
      </c>
      <c r="E99" s="3" t="s">
        <v>301</v>
      </c>
      <c r="F99" s="3" t="s">
        <v>302</v>
      </c>
      <c r="G99" s="3" t="s">
        <v>303</v>
      </c>
      <c r="H99" s="3" t="s">
        <v>85</v>
      </c>
    </row>
    <row r="100" spans="1:8" ht="30" customHeight="1">
      <c r="A100" s="4" t="s">
        <v>78</v>
      </c>
      <c r="B100" s="4" t="s">
        <v>85</v>
      </c>
      <c r="C100" s="4" t="s">
        <v>85</v>
      </c>
      <c r="D100" s="4" t="s">
        <v>85</v>
      </c>
      <c r="E100" s="4" t="s">
        <v>304</v>
      </c>
      <c r="F100" s="4" t="s">
        <v>305</v>
      </c>
      <c r="G100" s="4" t="s">
        <v>306</v>
      </c>
      <c r="H100" s="4" t="s">
        <v>85</v>
      </c>
    </row>
    <row r="101" spans="1:8" ht="48" customHeight="1">
      <c r="A101" s="3" t="s">
        <v>78</v>
      </c>
      <c r="B101" s="3" t="s">
        <v>85</v>
      </c>
      <c r="C101" s="3" t="s">
        <v>85</v>
      </c>
      <c r="D101" s="3" t="s">
        <v>85</v>
      </c>
      <c r="E101" s="3" t="s">
        <v>307</v>
      </c>
      <c r="F101" s="3" t="s">
        <v>308</v>
      </c>
      <c r="G101" s="3" t="s">
        <v>303</v>
      </c>
      <c r="H101" s="3" t="s">
        <v>85</v>
      </c>
    </row>
    <row r="102" spans="1:8" ht="48" customHeight="1">
      <c r="A102" s="4" t="s">
        <v>78</v>
      </c>
      <c r="B102" s="4" t="s">
        <v>85</v>
      </c>
      <c r="C102" s="4" t="s">
        <v>85</v>
      </c>
      <c r="D102" s="4" t="s">
        <v>85</v>
      </c>
      <c r="E102" s="4" t="s">
        <v>309</v>
      </c>
      <c r="F102" s="4" t="s">
        <v>310</v>
      </c>
      <c r="G102" s="4" t="s">
        <v>303</v>
      </c>
      <c r="H102" s="4" t="s">
        <v>85</v>
      </c>
    </row>
    <row r="103" spans="1:8" ht="48" customHeight="1">
      <c r="A103" s="3" t="s">
        <v>78</v>
      </c>
      <c r="B103" s="3" t="s">
        <v>85</v>
      </c>
      <c r="C103" s="3" t="s">
        <v>85</v>
      </c>
      <c r="D103" s="3" t="s">
        <v>85</v>
      </c>
      <c r="E103" s="3" t="s">
        <v>311</v>
      </c>
      <c r="F103" s="3" t="s">
        <v>312</v>
      </c>
      <c r="G103" s="3" t="s">
        <v>303</v>
      </c>
      <c r="H103" s="3" t="s">
        <v>85</v>
      </c>
    </row>
    <row r="104" spans="1:8" ht="48" customHeight="1">
      <c r="A104" s="4" t="s">
        <v>78</v>
      </c>
      <c r="B104" s="4" t="s">
        <v>85</v>
      </c>
      <c r="C104" s="4" t="s">
        <v>85</v>
      </c>
      <c r="D104" s="4" t="s">
        <v>85</v>
      </c>
      <c r="E104" s="4" t="s">
        <v>313</v>
      </c>
      <c r="F104" s="4" t="s">
        <v>314</v>
      </c>
      <c r="G104" s="4" t="s">
        <v>303</v>
      </c>
      <c r="H104" s="4" t="s">
        <v>85</v>
      </c>
    </row>
    <row r="105" spans="1:8" ht="48" customHeight="1">
      <c r="A105" s="3" t="s">
        <v>78</v>
      </c>
      <c r="B105" s="3" t="s">
        <v>85</v>
      </c>
      <c r="C105" s="3" t="s">
        <v>85</v>
      </c>
      <c r="D105" s="3" t="s">
        <v>85</v>
      </c>
      <c r="E105" s="3" t="s">
        <v>315</v>
      </c>
      <c r="F105" s="3" t="s">
        <v>316</v>
      </c>
      <c r="G105" s="3" t="s">
        <v>303</v>
      </c>
      <c r="H105" s="3" t="s">
        <v>85</v>
      </c>
    </row>
    <row r="106" spans="1:8" ht="30" customHeight="1">
      <c r="A106" s="4" t="s">
        <v>78</v>
      </c>
      <c r="B106" s="4" t="s">
        <v>85</v>
      </c>
      <c r="C106" s="4" t="s">
        <v>85</v>
      </c>
      <c r="D106" s="4" t="s">
        <v>85</v>
      </c>
      <c r="E106" s="4" t="s">
        <v>317</v>
      </c>
      <c r="F106" s="4" t="s">
        <v>225</v>
      </c>
      <c r="G106" s="4" t="s">
        <v>225</v>
      </c>
      <c r="H106" s="4" t="s">
        <v>85</v>
      </c>
    </row>
    <row r="107" spans="1:8" ht="66" customHeight="1">
      <c r="A107" s="3" t="s">
        <v>78</v>
      </c>
      <c r="B107" s="3" t="s">
        <v>318</v>
      </c>
      <c r="C107" s="3" t="s">
        <v>80</v>
      </c>
      <c r="D107" s="3" t="s">
        <v>319</v>
      </c>
      <c r="E107" s="3" t="s">
        <v>320</v>
      </c>
      <c r="F107" s="3" t="s">
        <v>321</v>
      </c>
      <c r="G107" s="3" t="s">
        <v>321</v>
      </c>
      <c r="H107" s="3" t="s">
        <v>322</v>
      </c>
    </row>
    <row r="108" spans="1:8" ht="30" customHeight="1">
      <c r="A108" s="4" t="s">
        <v>78</v>
      </c>
      <c r="B108" s="4" t="s">
        <v>85</v>
      </c>
      <c r="C108" s="4" t="s">
        <v>85</v>
      </c>
      <c r="D108" s="4" t="s">
        <v>85</v>
      </c>
      <c r="E108" s="4" t="s">
        <v>323</v>
      </c>
      <c r="F108" s="4" t="s">
        <v>324</v>
      </c>
      <c r="G108" s="4" t="s">
        <v>324</v>
      </c>
      <c r="H108" s="4" t="s">
        <v>85</v>
      </c>
    </row>
    <row r="109" spans="1:8" ht="30" customHeight="1">
      <c r="A109" s="3" t="s">
        <v>78</v>
      </c>
      <c r="B109" s="3" t="s">
        <v>85</v>
      </c>
      <c r="C109" s="3" t="s">
        <v>85</v>
      </c>
      <c r="D109" s="3" t="s">
        <v>85</v>
      </c>
      <c r="E109" s="3" t="s">
        <v>325</v>
      </c>
      <c r="F109" s="3" t="s">
        <v>326</v>
      </c>
      <c r="G109" s="3" t="s">
        <v>326</v>
      </c>
      <c r="H109" s="3" t="s">
        <v>85</v>
      </c>
    </row>
    <row r="110" spans="1:8" ht="30" customHeight="1">
      <c r="A110" s="4" t="s">
        <v>78</v>
      </c>
      <c r="B110" s="4" t="s">
        <v>85</v>
      </c>
      <c r="C110" s="4" t="s">
        <v>85</v>
      </c>
      <c r="D110" s="4" t="s">
        <v>85</v>
      </c>
      <c r="E110" s="4" t="s">
        <v>327</v>
      </c>
      <c r="F110" s="4" t="s">
        <v>328</v>
      </c>
      <c r="G110" s="4" t="s">
        <v>328</v>
      </c>
      <c r="H110" s="4" t="s">
        <v>85</v>
      </c>
    </row>
    <row r="111" spans="1:8" ht="30" customHeight="1">
      <c r="A111" s="3" t="s">
        <v>78</v>
      </c>
      <c r="B111" s="3" t="s">
        <v>85</v>
      </c>
      <c r="C111" s="3" t="s">
        <v>85</v>
      </c>
      <c r="D111" s="3" t="s">
        <v>85</v>
      </c>
      <c r="E111" s="3" t="s">
        <v>329</v>
      </c>
      <c r="F111" s="3" t="s">
        <v>330</v>
      </c>
      <c r="G111" s="3" t="s">
        <v>330</v>
      </c>
      <c r="H111" s="3" t="s">
        <v>85</v>
      </c>
    </row>
    <row r="112" spans="1:8" ht="30" customHeight="1">
      <c r="A112" s="4" t="s">
        <v>78</v>
      </c>
      <c r="B112" s="4" t="s">
        <v>85</v>
      </c>
      <c r="C112" s="4" t="s">
        <v>85</v>
      </c>
      <c r="D112" s="4" t="s">
        <v>85</v>
      </c>
      <c r="E112" s="4" t="s">
        <v>331</v>
      </c>
      <c r="F112" s="4" t="s">
        <v>332</v>
      </c>
      <c r="G112" s="4" t="s">
        <v>332</v>
      </c>
      <c r="H112" s="4" t="s">
        <v>85</v>
      </c>
    </row>
    <row r="113" spans="1:8" ht="30" customHeight="1">
      <c r="A113" s="3" t="s">
        <v>78</v>
      </c>
      <c r="B113" s="3" t="s">
        <v>85</v>
      </c>
      <c r="C113" s="3" t="s">
        <v>85</v>
      </c>
      <c r="D113" s="3" t="s">
        <v>85</v>
      </c>
      <c r="E113" s="3" t="s">
        <v>333</v>
      </c>
      <c r="F113" s="3" t="s">
        <v>334</v>
      </c>
      <c r="G113" s="3" t="s">
        <v>334</v>
      </c>
      <c r="H113" s="3" t="s">
        <v>85</v>
      </c>
    </row>
    <row r="114" spans="1:8" ht="120" customHeight="1">
      <c r="A114" s="4" t="s">
        <v>78</v>
      </c>
      <c r="B114" s="4" t="s">
        <v>335</v>
      </c>
      <c r="C114" s="4" t="s">
        <v>80</v>
      </c>
      <c r="D114" s="4" t="s">
        <v>336</v>
      </c>
      <c r="E114" s="4" t="s">
        <v>337</v>
      </c>
      <c r="F114" s="4" t="s">
        <v>338</v>
      </c>
      <c r="G114" s="4" t="s">
        <v>338</v>
      </c>
      <c r="H114" s="4" t="s">
        <v>339</v>
      </c>
    </row>
    <row r="115" spans="1:8" ht="30" customHeight="1">
      <c r="A115" s="3" t="s">
        <v>78</v>
      </c>
      <c r="B115" s="3" t="s">
        <v>85</v>
      </c>
      <c r="C115" s="3" t="s">
        <v>85</v>
      </c>
      <c r="D115" s="3" t="s">
        <v>85</v>
      </c>
      <c r="E115" s="3" t="s">
        <v>340</v>
      </c>
      <c r="F115" s="3" t="s">
        <v>341</v>
      </c>
      <c r="G115" s="3" t="s">
        <v>341</v>
      </c>
      <c r="H115" s="3" t="s">
        <v>85</v>
      </c>
    </row>
    <row r="116" spans="1:8" ht="30" customHeight="1">
      <c r="A116" s="4" t="s">
        <v>78</v>
      </c>
      <c r="B116" s="4" t="s">
        <v>85</v>
      </c>
      <c r="C116" s="4" t="s">
        <v>85</v>
      </c>
      <c r="D116" s="4" t="s">
        <v>85</v>
      </c>
      <c r="E116" s="4" t="s">
        <v>342</v>
      </c>
      <c r="F116" s="4" t="s">
        <v>343</v>
      </c>
      <c r="G116" s="4" t="s">
        <v>343</v>
      </c>
      <c r="H116" s="4" t="s">
        <v>85</v>
      </c>
    </row>
    <row r="117" spans="1:8" ht="30" customHeight="1">
      <c r="A117" s="3" t="s">
        <v>78</v>
      </c>
      <c r="B117" s="3" t="s">
        <v>85</v>
      </c>
      <c r="C117" s="3" t="s">
        <v>85</v>
      </c>
      <c r="D117" s="3" t="s">
        <v>85</v>
      </c>
      <c r="E117" s="3" t="s">
        <v>344</v>
      </c>
      <c r="F117" s="3" t="s">
        <v>345</v>
      </c>
      <c r="G117" s="3" t="s">
        <v>345</v>
      </c>
      <c r="H117" s="3" t="s">
        <v>85</v>
      </c>
    </row>
    <row r="118" spans="1:8" ht="30" customHeight="1">
      <c r="A118" s="4" t="s">
        <v>78</v>
      </c>
      <c r="B118" s="4" t="s">
        <v>85</v>
      </c>
      <c r="C118" s="4" t="s">
        <v>85</v>
      </c>
      <c r="D118" s="4" t="s">
        <v>85</v>
      </c>
      <c r="E118" s="4" t="s">
        <v>346</v>
      </c>
      <c r="F118" s="4" t="s">
        <v>347</v>
      </c>
      <c r="G118" s="4" t="s">
        <v>347</v>
      </c>
      <c r="H118" s="4" t="s">
        <v>85</v>
      </c>
    </row>
    <row r="119" spans="1:8" ht="30" customHeight="1">
      <c r="A119" s="3" t="s">
        <v>78</v>
      </c>
      <c r="B119" s="3" t="s">
        <v>85</v>
      </c>
      <c r="C119" s="3" t="s">
        <v>85</v>
      </c>
      <c r="D119" s="3" t="s">
        <v>85</v>
      </c>
      <c r="E119" s="3" t="s">
        <v>348</v>
      </c>
      <c r="F119" s="3" t="s">
        <v>347</v>
      </c>
      <c r="G119" s="3" t="s">
        <v>347</v>
      </c>
      <c r="H119" s="3" t="s">
        <v>85</v>
      </c>
    </row>
    <row r="120" spans="1:8" ht="48" customHeight="1">
      <c r="A120" s="4" t="s">
        <v>78</v>
      </c>
      <c r="B120" s="4" t="s">
        <v>85</v>
      </c>
      <c r="C120" s="4" t="s">
        <v>85</v>
      </c>
      <c r="D120" s="4" t="s">
        <v>85</v>
      </c>
      <c r="E120" s="4" t="s">
        <v>349</v>
      </c>
      <c r="F120" s="4" t="s">
        <v>350</v>
      </c>
      <c r="G120" s="4" t="s">
        <v>350</v>
      </c>
      <c r="H120" s="4" t="s">
        <v>85</v>
      </c>
    </row>
    <row r="121" spans="1:8" ht="84" customHeight="1">
      <c r="A121" s="3" t="s">
        <v>78</v>
      </c>
      <c r="B121" s="3" t="s">
        <v>351</v>
      </c>
      <c r="C121" s="3" t="s">
        <v>80</v>
      </c>
      <c r="D121" s="3" t="s">
        <v>352</v>
      </c>
      <c r="E121" s="3" t="s">
        <v>353</v>
      </c>
      <c r="F121" s="3" t="s">
        <v>354</v>
      </c>
      <c r="G121" s="3" t="s">
        <v>354</v>
      </c>
      <c r="H121" s="3" t="s">
        <v>355</v>
      </c>
    </row>
    <row r="122" spans="1:8" ht="48" customHeight="1">
      <c r="A122" s="4" t="s">
        <v>78</v>
      </c>
      <c r="B122" s="4" t="s">
        <v>85</v>
      </c>
      <c r="C122" s="4" t="s">
        <v>85</v>
      </c>
      <c r="D122" s="4" t="s">
        <v>85</v>
      </c>
      <c r="E122" s="4" t="s">
        <v>356</v>
      </c>
      <c r="F122" s="4" t="s">
        <v>357</v>
      </c>
      <c r="G122" s="4" t="s">
        <v>357</v>
      </c>
      <c r="H122" s="4" t="s">
        <v>85</v>
      </c>
    </row>
    <row r="123" spans="1:8" ht="30" customHeight="1">
      <c r="A123" s="3" t="s">
        <v>78</v>
      </c>
      <c r="B123" s="3" t="s">
        <v>85</v>
      </c>
      <c r="C123" s="3" t="s">
        <v>85</v>
      </c>
      <c r="D123" s="3" t="s">
        <v>85</v>
      </c>
      <c r="E123" s="3" t="s">
        <v>358</v>
      </c>
      <c r="F123" s="3" t="s">
        <v>359</v>
      </c>
      <c r="G123" s="3" t="s">
        <v>359</v>
      </c>
      <c r="H123" s="3" t="s">
        <v>85</v>
      </c>
    </row>
    <row r="124" spans="1:8" ht="48" customHeight="1">
      <c r="A124" s="4" t="s">
        <v>78</v>
      </c>
      <c r="B124" s="4" t="s">
        <v>85</v>
      </c>
      <c r="C124" s="4" t="s">
        <v>85</v>
      </c>
      <c r="D124" s="4" t="s">
        <v>85</v>
      </c>
      <c r="E124" s="4" t="s">
        <v>360</v>
      </c>
      <c r="F124" s="4" t="s">
        <v>357</v>
      </c>
      <c r="G124" s="4" t="s">
        <v>357</v>
      </c>
      <c r="H124" s="4" t="s">
        <v>85</v>
      </c>
    </row>
    <row r="125" spans="1:8" ht="48" customHeight="1">
      <c r="A125" s="3" t="s">
        <v>78</v>
      </c>
      <c r="B125" s="3" t="s">
        <v>85</v>
      </c>
      <c r="C125" s="3" t="s">
        <v>85</v>
      </c>
      <c r="D125" s="3" t="s">
        <v>85</v>
      </c>
      <c r="E125" s="3" t="s">
        <v>361</v>
      </c>
      <c r="F125" s="3" t="s">
        <v>359</v>
      </c>
      <c r="G125" s="3" t="s">
        <v>359</v>
      </c>
      <c r="H125" s="3" t="s">
        <v>85</v>
      </c>
    </row>
    <row r="126" spans="1:8" ht="30" customHeight="1">
      <c r="A126" s="4" t="s">
        <v>78</v>
      </c>
      <c r="B126" s="4" t="s">
        <v>85</v>
      </c>
      <c r="C126" s="4" t="s">
        <v>85</v>
      </c>
      <c r="D126" s="4" t="s">
        <v>85</v>
      </c>
      <c r="E126" s="4" t="s">
        <v>362</v>
      </c>
      <c r="F126" s="4" t="s">
        <v>363</v>
      </c>
      <c r="G126" s="4" t="s">
        <v>363</v>
      </c>
      <c r="H126" s="4" t="s">
        <v>85</v>
      </c>
    </row>
    <row r="127" spans="1:8" ht="66" customHeight="1">
      <c r="A127" s="3" t="s">
        <v>78</v>
      </c>
      <c r="B127" s="3" t="s">
        <v>364</v>
      </c>
      <c r="C127" s="3" t="s">
        <v>186</v>
      </c>
      <c r="D127" s="3" t="s">
        <v>365</v>
      </c>
      <c r="E127" s="3" t="s">
        <v>366</v>
      </c>
      <c r="F127" s="3" t="s">
        <v>367</v>
      </c>
      <c r="G127" s="3" t="s">
        <v>367</v>
      </c>
      <c r="H127" s="3" t="s">
        <v>368</v>
      </c>
    </row>
    <row r="128" spans="1:8" ht="30" customHeight="1">
      <c r="A128" s="4" t="s">
        <v>78</v>
      </c>
      <c r="B128" s="4" t="s">
        <v>85</v>
      </c>
      <c r="C128" s="4" t="s">
        <v>85</v>
      </c>
      <c r="D128" s="4" t="s">
        <v>85</v>
      </c>
      <c r="E128" s="4" t="s">
        <v>369</v>
      </c>
      <c r="F128" s="4" t="s">
        <v>370</v>
      </c>
      <c r="G128" s="4" t="s">
        <v>370</v>
      </c>
      <c r="H128" s="4" t="s">
        <v>85</v>
      </c>
    </row>
    <row r="129" spans="1:8" ht="30" customHeight="1">
      <c r="A129" s="3" t="s">
        <v>78</v>
      </c>
      <c r="B129" s="3" t="s">
        <v>85</v>
      </c>
      <c r="C129" s="3" t="s">
        <v>85</v>
      </c>
      <c r="D129" s="3" t="s">
        <v>85</v>
      </c>
      <c r="E129" s="3" t="s">
        <v>371</v>
      </c>
      <c r="F129" s="3" t="s">
        <v>372</v>
      </c>
      <c r="G129" s="3" t="s">
        <v>372</v>
      </c>
      <c r="H129" s="3" t="s">
        <v>85</v>
      </c>
    </row>
    <row r="130" spans="1:8" ht="30" customHeight="1">
      <c r="A130" s="4" t="s">
        <v>78</v>
      </c>
      <c r="B130" s="4" t="s">
        <v>85</v>
      </c>
      <c r="C130" s="4" t="s">
        <v>85</v>
      </c>
      <c r="D130" s="4" t="s">
        <v>85</v>
      </c>
      <c r="E130" s="4" t="s">
        <v>373</v>
      </c>
      <c r="F130" s="4" t="s">
        <v>374</v>
      </c>
      <c r="G130" s="4" t="s">
        <v>374</v>
      </c>
      <c r="H130" s="4" t="s">
        <v>85</v>
      </c>
    </row>
    <row r="131" spans="1:8" ht="30" customHeight="1">
      <c r="A131" s="3" t="s">
        <v>78</v>
      </c>
      <c r="B131" s="3" t="s">
        <v>85</v>
      </c>
      <c r="C131" s="3" t="s">
        <v>85</v>
      </c>
      <c r="D131" s="3" t="s">
        <v>85</v>
      </c>
      <c r="E131" s="3" t="s">
        <v>375</v>
      </c>
      <c r="F131" s="3" t="s">
        <v>376</v>
      </c>
      <c r="G131" s="3" t="s">
        <v>376</v>
      </c>
      <c r="H131" s="3" t="s">
        <v>85</v>
      </c>
    </row>
    <row r="132" spans="1:8" ht="84" customHeight="1">
      <c r="A132" s="4" t="s">
        <v>78</v>
      </c>
      <c r="B132" s="4" t="s">
        <v>377</v>
      </c>
      <c r="C132" s="4" t="s">
        <v>378</v>
      </c>
      <c r="D132" s="4" t="s">
        <v>379</v>
      </c>
      <c r="E132" s="4" t="s">
        <v>380</v>
      </c>
      <c r="F132" s="4" t="s">
        <v>381</v>
      </c>
      <c r="G132" s="4" t="s">
        <v>381</v>
      </c>
      <c r="H132" s="4" t="s">
        <v>382</v>
      </c>
    </row>
    <row r="133" spans="1:8" ht="66" customHeight="1">
      <c r="A133" s="3" t="s">
        <v>78</v>
      </c>
      <c r="B133" s="3" t="s">
        <v>85</v>
      </c>
      <c r="C133" s="3" t="s">
        <v>85</v>
      </c>
      <c r="D133" s="3" t="s">
        <v>85</v>
      </c>
      <c r="E133" s="3" t="s">
        <v>383</v>
      </c>
      <c r="F133" s="3" t="s">
        <v>384</v>
      </c>
      <c r="G133" s="3" t="s">
        <v>384</v>
      </c>
      <c r="H133" s="3" t="s">
        <v>85</v>
      </c>
    </row>
    <row r="134" spans="1:8" ht="48" customHeight="1">
      <c r="A134" s="4" t="s">
        <v>78</v>
      </c>
      <c r="B134" s="4" t="s">
        <v>85</v>
      </c>
      <c r="C134" s="4" t="s">
        <v>85</v>
      </c>
      <c r="D134" s="4" t="s">
        <v>85</v>
      </c>
      <c r="E134" s="4" t="s">
        <v>385</v>
      </c>
      <c r="F134" s="4" t="s">
        <v>386</v>
      </c>
      <c r="G134" s="4" t="s">
        <v>386</v>
      </c>
      <c r="H134" s="4" t="s">
        <v>85</v>
      </c>
    </row>
    <row r="135" spans="1:8" ht="48" customHeight="1">
      <c r="A135" s="3" t="s">
        <v>30</v>
      </c>
      <c r="B135" s="3" t="s">
        <v>387</v>
      </c>
      <c r="C135" s="3" t="s">
        <v>388</v>
      </c>
      <c r="D135" s="3" t="s">
        <v>389</v>
      </c>
      <c r="E135" s="3" t="s">
        <v>390</v>
      </c>
      <c r="F135" s="3" t="s">
        <v>391</v>
      </c>
      <c r="G135" s="3" t="s">
        <v>391</v>
      </c>
      <c r="H135" s="3" t="s">
        <v>392</v>
      </c>
    </row>
    <row r="136" spans="1:8" ht="30" customHeight="1">
      <c r="A136" s="4" t="s">
        <v>30</v>
      </c>
      <c r="B136" s="4" t="s">
        <v>85</v>
      </c>
      <c r="C136" s="4" t="s">
        <v>85</v>
      </c>
      <c r="D136" s="4" t="s">
        <v>85</v>
      </c>
      <c r="E136" s="4" t="s">
        <v>393</v>
      </c>
      <c r="F136" s="4" t="s">
        <v>394</v>
      </c>
      <c r="G136" s="4" t="s">
        <v>394</v>
      </c>
      <c r="H136" s="4" t="s">
        <v>85</v>
      </c>
    </row>
    <row r="137" spans="1:8" ht="30" customHeight="1">
      <c r="A137" s="3" t="s">
        <v>30</v>
      </c>
      <c r="B137" s="3" t="s">
        <v>85</v>
      </c>
      <c r="C137" s="3" t="s">
        <v>85</v>
      </c>
      <c r="D137" s="3" t="s">
        <v>85</v>
      </c>
      <c r="E137" s="3" t="s">
        <v>395</v>
      </c>
      <c r="F137" s="3" t="s">
        <v>396</v>
      </c>
      <c r="G137" s="3" t="s">
        <v>397</v>
      </c>
      <c r="H137" s="3" t="s">
        <v>85</v>
      </c>
    </row>
    <row r="138" spans="1:8" ht="30" customHeight="1">
      <c r="A138" s="4" t="s">
        <v>30</v>
      </c>
      <c r="B138" s="4" t="s">
        <v>85</v>
      </c>
      <c r="C138" s="4" t="s">
        <v>85</v>
      </c>
      <c r="D138" s="4" t="s">
        <v>85</v>
      </c>
      <c r="E138" s="4" t="s">
        <v>398</v>
      </c>
      <c r="F138" s="4" t="s">
        <v>399</v>
      </c>
      <c r="G138" s="4" t="s">
        <v>397</v>
      </c>
      <c r="H138" s="4" t="s">
        <v>85</v>
      </c>
    </row>
    <row r="139" spans="1:8" ht="30" customHeight="1">
      <c r="A139" s="3" t="s">
        <v>30</v>
      </c>
      <c r="B139" s="3" t="s">
        <v>85</v>
      </c>
      <c r="C139" s="3" t="s">
        <v>85</v>
      </c>
      <c r="D139" s="3" t="s">
        <v>85</v>
      </c>
      <c r="E139" s="3" t="s">
        <v>400</v>
      </c>
      <c r="F139" s="3" t="s">
        <v>401</v>
      </c>
      <c r="G139" s="3" t="s">
        <v>397</v>
      </c>
      <c r="H139" s="3" t="s">
        <v>85</v>
      </c>
    </row>
    <row r="140" spans="1:8" ht="48" customHeight="1">
      <c r="A140" s="4" t="s">
        <v>30</v>
      </c>
      <c r="B140" s="4" t="s">
        <v>85</v>
      </c>
      <c r="C140" s="4" t="s">
        <v>85</v>
      </c>
      <c r="D140" s="4" t="s">
        <v>85</v>
      </c>
      <c r="E140" s="4" t="s">
        <v>402</v>
      </c>
      <c r="F140" s="4" t="s">
        <v>403</v>
      </c>
      <c r="G140" s="4" t="s">
        <v>404</v>
      </c>
      <c r="H140" s="4" t="s">
        <v>85</v>
      </c>
    </row>
    <row r="141" spans="1:8" ht="48" customHeight="1">
      <c r="A141" s="3" t="s">
        <v>30</v>
      </c>
      <c r="B141" s="3" t="s">
        <v>85</v>
      </c>
      <c r="C141" s="3" t="s">
        <v>85</v>
      </c>
      <c r="D141" s="3" t="s">
        <v>85</v>
      </c>
      <c r="E141" s="3" t="s">
        <v>405</v>
      </c>
      <c r="F141" s="3" t="s">
        <v>406</v>
      </c>
      <c r="G141" s="3" t="s">
        <v>407</v>
      </c>
      <c r="H141" s="3" t="s">
        <v>85</v>
      </c>
    </row>
    <row r="142" spans="1:8" ht="48" customHeight="1">
      <c r="A142" s="4" t="s">
        <v>30</v>
      </c>
      <c r="B142" s="4" t="s">
        <v>85</v>
      </c>
      <c r="C142" s="4" t="s">
        <v>85</v>
      </c>
      <c r="D142" s="4" t="s">
        <v>85</v>
      </c>
      <c r="E142" s="4" t="s">
        <v>408</v>
      </c>
      <c r="F142" s="4" t="s">
        <v>409</v>
      </c>
      <c r="G142" s="4" t="s">
        <v>410</v>
      </c>
      <c r="H142" s="4" t="s">
        <v>85</v>
      </c>
    </row>
    <row r="143" spans="1:8" ht="48" customHeight="1">
      <c r="A143" s="3" t="s">
        <v>23</v>
      </c>
      <c r="B143" s="3" t="s">
        <v>411</v>
      </c>
      <c r="C143" s="3" t="s">
        <v>412</v>
      </c>
      <c r="D143" s="3" t="s">
        <v>413</v>
      </c>
      <c r="E143" s="3" t="s">
        <v>414</v>
      </c>
      <c r="F143" s="3" t="s">
        <v>415</v>
      </c>
      <c r="G143" s="3" t="s">
        <v>415</v>
      </c>
      <c r="H143" s="3" t="s">
        <v>416</v>
      </c>
    </row>
    <row r="144" spans="1:8" ht="30" customHeight="1">
      <c r="A144" s="4" t="s">
        <v>23</v>
      </c>
      <c r="B144" s="4" t="s">
        <v>85</v>
      </c>
      <c r="C144" s="4" t="s">
        <v>85</v>
      </c>
      <c r="D144" s="4" t="s">
        <v>85</v>
      </c>
      <c r="E144" s="4" t="s">
        <v>417</v>
      </c>
      <c r="F144" s="4" t="s">
        <v>418</v>
      </c>
      <c r="G144" s="4" t="s">
        <v>418</v>
      </c>
      <c r="H144" s="4" t="s">
        <v>85</v>
      </c>
    </row>
    <row r="145" spans="1:8" ht="30" customHeight="1">
      <c r="A145" s="3" t="s">
        <v>23</v>
      </c>
      <c r="B145" s="3" t="s">
        <v>85</v>
      </c>
      <c r="C145" s="3" t="s">
        <v>85</v>
      </c>
      <c r="D145" s="3" t="s">
        <v>85</v>
      </c>
      <c r="E145" s="3" t="s">
        <v>419</v>
      </c>
      <c r="F145" s="3" t="s">
        <v>420</v>
      </c>
      <c r="G145" s="3" t="s">
        <v>420</v>
      </c>
      <c r="H145" s="3" t="s">
        <v>85</v>
      </c>
    </row>
    <row r="146" spans="1:8" ht="30" customHeight="1">
      <c r="A146" s="4" t="s">
        <v>23</v>
      </c>
      <c r="B146" s="4" t="s">
        <v>85</v>
      </c>
      <c r="C146" s="4" t="s">
        <v>85</v>
      </c>
      <c r="D146" s="4" t="s">
        <v>85</v>
      </c>
      <c r="E146" s="4" t="s">
        <v>421</v>
      </c>
      <c r="F146" s="4" t="s">
        <v>422</v>
      </c>
      <c r="G146" s="4" t="s">
        <v>422</v>
      </c>
      <c r="H146" s="4" t="s">
        <v>85</v>
      </c>
    </row>
    <row r="147" spans="1:8" ht="30" customHeight="1">
      <c r="A147" s="3" t="s">
        <v>23</v>
      </c>
      <c r="B147" s="3" t="s">
        <v>85</v>
      </c>
      <c r="C147" s="3" t="s">
        <v>85</v>
      </c>
      <c r="D147" s="3" t="s">
        <v>85</v>
      </c>
      <c r="E147" s="3" t="s">
        <v>423</v>
      </c>
      <c r="F147" s="3" t="s">
        <v>424</v>
      </c>
      <c r="G147" s="3" t="s">
        <v>424</v>
      </c>
      <c r="H147" s="3" t="s">
        <v>85</v>
      </c>
    </row>
    <row r="148" spans="1:8" ht="48" customHeight="1">
      <c r="A148" s="4" t="s">
        <v>23</v>
      </c>
      <c r="B148" s="4" t="s">
        <v>425</v>
      </c>
      <c r="C148" s="4" t="s">
        <v>412</v>
      </c>
      <c r="D148" s="4" t="s">
        <v>426</v>
      </c>
      <c r="E148" s="4" t="s">
        <v>427</v>
      </c>
      <c r="F148" s="4" t="s">
        <v>428</v>
      </c>
      <c r="G148" s="4" t="s">
        <v>428</v>
      </c>
      <c r="H148" s="4" t="s">
        <v>429</v>
      </c>
    </row>
    <row r="149" spans="1:8" ht="30" customHeight="1">
      <c r="A149" s="3" t="s">
        <v>23</v>
      </c>
      <c r="B149" s="3" t="s">
        <v>85</v>
      </c>
      <c r="C149" s="3" t="s">
        <v>85</v>
      </c>
      <c r="D149" s="3" t="s">
        <v>85</v>
      </c>
      <c r="E149" s="3" t="s">
        <v>430</v>
      </c>
      <c r="F149" s="3" t="s">
        <v>431</v>
      </c>
      <c r="G149" s="3" t="s">
        <v>431</v>
      </c>
      <c r="H149" s="3" t="s">
        <v>85</v>
      </c>
    </row>
    <row r="150" spans="1:8" ht="30" customHeight="1">
      <c r="A150" s="4" t="s">
        <v>23</v>
      </c>
      <c r="B150" s="4" t="s">
        <v>85</v>
      </c>
      <c r="C150" s="4" t="s">
        <v>85</v>
      </c>
      <c r="D150" s="4" t="s">
        <v>85</v>
      </c>
      <c r="E150" s="4" t="s">
        <v>432</v>
      </c>
      <c r="F150" s="4" t="s">
        <v>433</v>
      </c>
      <c r="G150" s="4" t="s">
        <v>433</v>
      </c>
      <c r="H150" s="4" t="s">
        <v>85</v>
      </c>
    </row>
    <row r="151" spans="1:8" ht="30" customHeight="1">
      <c r="A151" s="3" t="s">
        <v>23</v>
      </c>
      <c r="B151" s="3" t="s">
        <v>85</v>
      </c>
      <c r="C151" s="3" t="s">
        <v>85</v>
      </c>
      <c r="D151" s="3" t="s">
        <v>85</v>
      </c>
      <c r="E151" s="3" t="s">
        <v>434</v>
      </c>
      <c r="F151" s="3" t="s">
        <v>435</v>
      </c>
      <c r="G151" s="3" t="s">
        <v>435</v>
      </c>
      <c r="H151" s="3" t="s">
        <v>85</v>
      </c>
    </row>
    <row r="152" spans="1:8" ht="30" customHeight="1">
      <c r="A152" s="4" t="s">
        <v>23</v>
      </c>
      <c r="B152" s="4" t="s">
        <v>85</v>
      </c>
      <c r="C152" s="4" t="s">
        <v>85</v>
      </c>
      <c r="D152" s="4" t="s">
        <v>85</v>
      </c>
      <c r="E152" s="4" t="s">
        <v>436</v>
      </c>
      <c r="F152" s="4" t="s">
        <v>437</v>
      </c>
      <c r="G152" s="4" t="s">
        <v>437</v>
      </c>
      <c r="H152" s="4" t="s">
        <v>85</v>
      </c>
    </row>
    <row r="153" spans="1:8" ht="48" customHeight="1">
      <c r="A153" s="3" t="s">
        <v>23</v>
      </c>
      <c r="B153" s="3" t="s">
        <v>185</v>
      </c>
      <c r="C153" s="3" t="s">
        <v>412</v>
      </c>
      <c r="D153" s="3" t="s">
        <v>438</v>
      </c>
      <c r="E153" s="3" t="s">
        <v>439</v>
      </c>
      <c r="F153" s="3" t="s">
        <v>440</v>
      </c>
      <c r="G153" s="3" t="s">
        <v>440</v>
      </c>
      <c r="H153" s="3" t="s">
        <v>441</v>
      </c>
    </row>
    <row r="154" spans="1:8" ht="30" customHeight="1">
      <c r="A154" s="4" t="s">
        <v>23</v>
      </c>
      <c r="B154" s="4" t="s">
        <v>85</v>
      </c>
      <c r="C154" s="4" t="s">
        <v>85</v>
      </c>
      <c r="D154" s="4" t="s">
        <v>85</v>
      </c>
      <c r="E154" s="4" t="s">
        <v>442</v>
      </c>
      <c r="F154" s="4" t="s">
        <v>443</v>
      </c>
      <c r="G154" s="4" t="s">
        <v>443</v>
      </c>
      <c r="H154" s="4" t="s">
        <v>85</v>
      </c>
    </row>
    <row r="155" spans="1:8" ht="48" customHeight="1">
      <c r="A155" s="3" t="s">
        <v>444</v>
      </c>
      <c r="B155" s="3" t="s">
        <v>445</v>
      </c>
      <c r="C155" s="3" t="s">
        <v>446</v>
      </c>
      <c r="D155" s="3" t="s">
        <v>447</v>
      </c>
      <c r="E155" s="3" t="s">
        <v>448</v>
      </c>
      <c r="F155" s="3" t="s">
        <v>449</v>
      </c>
      <c r="G155" s="3" t="s">
        <v>449</v>
      </c>
      <c r="H155" s="3" t="s">
        <v>85</v>
      </c>
    </row>
    <row r="156" spans="1:8" ht="30" customHeight="1">
      <c r="A156" s="4" t="s">
        <v>444</v>
      </c>
      <c r="B156" s="4" t="s">
        <v>85</v>
      </c>
      <c r="C156" s="4" t="s">
        <v>85</v>
      </c>
      <c r="D156" s="4" t="s">
        <v>85</v>
      </c>
      <c r="E156" s="4" t="s">
        <v>450</v>
      </c>
      <c r="F156" s="4" t="s">
        <v>451</v>
      </c>
      <c r="G156" s="4" t="s">
        <v>451</v>
      </c>
      <c r="H156" s="4" t="s">
        <v>85</v>
      </c>
    </row>
    <row r="157" spans="1:8" ht="30" customHeight="1">
      <c r="A157" s="3" t="s">
        <v>444</v>
      </c>
      <c r="B157" s="3" t="s">
        <v>85</v>
      </c>
      <c r="C157" s="3" t="s">
        <v>85</v>
      </c>
      <c r="D157" s="3" t="s">
        <v>85</v>
      </c>
      <c r="E157" s="3" t="s">
        <v>452</v>
      </c>
      <c r="F157" s="3" t="s">
        <v>453</v>
      </c>
      <c r="G157" s="3" t="s">
        <v>453</v>
      </c>
      <c r="H157" s="3" t="s">
        <v>85</v>
      </c>
    </row>
    <row r="158" spans="1:8" ht="30" customHeight="1">
      <c r="A158" s="4" t="s">
        <v>444</v>
      </c>
      <c r="B158" s="4" t="s">
        <v>85</v>
      </c>
      <c r="C158" s="4" t="s">
        <v>85</v>
      </c>
      <c r="D158" s="4" t="s">
        <v>85</v>
      </c>
      <c r="E158" s="4" t="s">
        <v>454</v>
      </c>
      <c r="F158" s="4" t="s">
        <v>455</v>
      </c>
      <c r="G158" s="4" t="s">
        <v>455</v>
      </c>
      <c r="H158" s="4" t="s">
        <v>85</v>
      </c>
    </row>
    <row r="159" spans="1:8" ht="66" customHeight="1">
      <c r="A159" s="3" t="s">
        <v>444</v>
      </c>
      <c r="B159" s="3" t="s">
        <v>456</v>
      </c>
      <c r="C159" s="3" t="s">
        <v>446</v>
      </c>
      <c r="D159" s="3" t="s">
        <v>457</v>
      </c>
      <c r="E159" s="3" t="s">
        <v>458</v>
      </c>
      <c r="F159" s="3" t="s">
        <v>376</v>
      </c>
      <c r="G159" s="3" t="s">
        <v>376</v>
      </c>
      <c r="H159" s="3" t="s">
        <v>459</v>
      </c>
    </row>
    <row r="160" spans="1:8" ht="30" customHeight="1">
      <c r="A160" s="4" t="s">
        <v>444</v>
      </c>
      <c r="B160" s="4" t="s">
        <v>85</v>
      </c>
      <c r="C160" s="4" t="s">
        <v>85</v>
      </c>
      <c r="D160" s="4" t="s">
        <v>85</v>
      </c>
      <c r="E160" s="4" t="s">
        <v>460</v>
      </c>
      <c r="F160" s="4" t="s">
        <v>461</v>
      </c>
      <c r="G160" s="4" t="s">
        <v>461</v>
      </c>
      <c r="H160" s="4" t="s">
        <v>85</v>
      </c>
    </row>
    <row r="161" spans="1:8" ht="30" customHeight="1">
      <c r="A161" s="3" t="s">
        <v>444</v>
      </c>
      <c r="B161" s="3" t="s">
        <v>85</v>
      </c>
      <c r="C161" s="3" t="s">
        <v>85</v>
      </c>
      <c r="D161" s="3" t="s">
        <v>85</v>
      </c>
      <c r="E161" s="3" t="s">
        <v>462</v>
      </c>
      <c r="F161" s="3" t="s">
        <v>235</v>
      </c>
      <c r="G161" s="3" t="s">
        <v>235</v>
      </c>
      <c r="H161" s="3" t="s">
        <v>85</v>
      </c>
    </row>
    <row r="162" spans="1:8" ht="48" customHeight="1">
      <c r="A162" s="4" t="s">
        <v>444</v>
      </c>
      <c r="B162" s="4" t="s">
        <v>463</v>
      </c>
      <c r="C162" s="4" t="s">
        <v>446</v>
      </c>
      <c r="D162" s="4" t="s">
        <v>464</v>
      </c>
      <c r="E162" s="4" t="s">
        <v>465</v>
      </c>
      <c r="F162" s="4" t="s">
        <v>466</v>
      </c>
      <c r="G162" s="4" t="s">
        <v>466</v>
      </c>
      <c r="H162" s="4" t="s">
        <v>85</v>
      </c>
    </row>
    <row r="163" spans="1:8" ht="30" customHeight="1">
      <c r="A163" s="3" t="s">
        <v>444</v>
      </c>
      <c r="B163" s="3" t="s">
        <v>85</v>
      </c>
      <c r="C163" s="3" t="s">
        <v>85</v>
      </c>
      <c r="D163" s="3" t="s">
        <v>85</v>
      </c>
      <c r="E163" s="3" t="s">
        <v>467</v>
      </c>
      <c r="F163" s="3" t="s">
        <v>468</v>
      </c>
      <c r="G163" s="3" t="s">
        <v>468</v>
      </c>
      <c r="H163" s="3" t="s">
        <v>85</v>
      </c>
    </row>
    <row r="164" spans="1:8" ht="30" customHeight="1">
      <c r="A164" s="4" t="s">
        <v>444</v>
      </c>
      <c r="B164" s="4" t="s">
        <v>85</v>
      </c>
      <c r="C164" s="4" t="s">
        <v>85</v>
      </c>
      <c r="D164" s="4" t="s">
        <v>85</v>
      </c>
      <c r="E164" s="4" t="s">
        <v>469</v>
      </c>
      <c r="F164" s="4" t="s">
        <v>470</v>
      </c>
      <c r="G164" s="4" t="s">
        <v>470</v>
      </c>
      <c r="H164" s="4" t="s">
        <v>85</v>
      </c>
    </row>
    <row r="165" spans="1:8" ht="30" customHeight="1">
      <c r="A165" s="3" t="s">
        <v>444</v>
      </c>
      <c r="B165" s="3" t="s">
        <v>85</v>
      </c>
      <c r="C165" s="3" t="s">
        <v>85</v>
      </c>
      <c r="D165" s="3" t="s">
        <v>85</v>
      </c>
      <c r="E165" s="3" t="s">
        <v>471</v>
      </c>
      <c r="F165" s="3" t="s">
        <v>472</v>
      </c>
      <c r="G165" s="3" t="s">
        <v>472</v>
      </c>
      <c r="H165" s="3" t="s">
        <v>85</v>
      </c>
    </row>
    <row r="166" spans="1:8" ht="48" customHeight="1">
      <c r="A166" s="4" t="s">
        <v>444</v>
      </c>
      <c r="B166" s="4" t="s">
        <v>473</v>
      </c>
      <c r="C166" s="4" t="s">
        <v>446</v>
      </c>
      <c r="D166" s="4" t="s">
        <v>474</v>
      </c>
      <c r="E166" s="4" t="s">
        <v>475</v>
      </c>
      <c r="F166" s="4" t="s">
        <v>476</v>
      </c>
      <c r="G166" s="4" t="s">
        <v>476</v>
      </c>
      <c r="H166" s="4" t="s">
        <v>477</v>
      </c>
    </row>
    <row r="167" spans="1:8" ht="30" customHeight="1">
      <c r="A167" s="3" t="s">
        <v>444</v>
      </c>
      <c r="B167" s="3" t="s">
        <v>85</v>
      </c>
      <c r="C167" s="3" t="s">
        <v>85</v>
      </c>
      <c r="D167" s="3" t="s">
        <v>85</v>
      </c>
      <c r="E167" s="3" t="s">
        <v>478</v>
      </c>
      <c r="F167" s="3" t="s">
        <v>479</v>
      </c>
      <c r="G167" s="3" t="s">
        <v>479</v>
      </c>
      <c r="H167" s="3" t="s">
        <v>85</v>
      </c>
    </row>
    <row r="168" spans="1:8" ht="30" customHeight="1">
      <c r="A168" s="4" t="s">
        <v>444</v>
      </c>
      <c r="B168" s="4" t="s">
        <v>85</v>
      </c>
      <c r="C168" s="4" t="s">
        <v>85</v>
      </c>
      <c r="D168" s="4" t="s">
        <v>85</v>
      </c>
      <c r="E168" s="4" t="s">
        <v>480</v>
      </c>
      <c r="F168" s="4" t="s">
        <v>481</v>
      </c>
      <c r="G168" s="4" t="s">
        <v>481</v>
      </c>
      <c r="H168" s="4" t="s">
        <v>85</v>
      </c>
    </row>
    <row r="169" spans="1:8" ht="30" customHeight="1">
      <c r="A169" s="3" t="s">
        <v>444</v>
      </c>
      <c r="B169" s="3" t="s">
        <v>85</v>
      </c>
      <c r="C169" s="3" t="s">
        <v>85</v>
      </c>
      <c r="D169" s="3" t="s">
        <v>85</v>
      </c>
      <c r="E169" s="3" t="s">
        <v>482</v>
      </c>
      <c r="F169" s="3" t="s">
        <v>483</v>
      </c>
      <c r="G169" s="3" t="s">
        <v>483</v>
      </c>
      <c r="H169" s="3" t="s">
        <v>85</v>
      </c>
    </row>
    <row r="170" spans="1:8" ht="48" customHeight="1">
      <c r="A170" s="4" t="s">
        <v>444</v>
      </c>
      <c r="B170" s="4" t="s">
        <v>484</v>
      </c>
      <c r="C170" s="4" t="s">
        <v>446</v>
      </c>
      <c r="D170" s="4" t="s">
        <v>485</v>
      </c>
      <c r="E170" s="4" t="s">
        <v>486</v>
      </c>
      <c r="F170" s="4" t="s">
        <v>476</v>
      </c>
      <c r="G170" s="4" t="s">
        <v>476</v>
      </c>
      <c r="H170" s="4" t="s">
        <v>85</v>
      </c>
    </row>
    <row r="171" spans="1:8" ht="30" customHeight="1">
      <c r="A171" s="3" t="s">
        <v>444</v>
      </c>
      <c r="B171" s="3" t="s">
        <v>85</v>
      </c>
      <c r="C171" s="3" t="s">
        <v>85</v>
      </c>
      <c r="D171" s="3" t="s">
        <v>85</v>
      </c>
      <c r="E171" s="3" t="s">
        <v>487</v>
      </c>
      <c r="F171" s="3" t="s">
        <v>488</v>
      </c>
      <c r="G171" s="3" t="s">
        <v>488</v>
      </c>
      <c r="H171" s="3" t="s">
        <v>85</v>
      </c>
    </row>
    <row r="172" spans="1:8" ht="30" customHeight="1">
      <c r="A172" s="4" t="s">
        <v>444</v>
      </c>
      <c r="B172" s="4" t="s">
        <v>85</v>
      </c>
      <c r="C172" s="4" t="s">
        <v>85</v>
      </c>
      <c r="D172" s="4" t="s">
        <v>85</v>
      </c>
      <c r="E172" s="4" t="s">
        <v>489</v>
      </c>
      <c r="F172" s="4" t="s">
        <v>490</v>
      </c>
      <c r="G172" s="4" t="s">
        <v>490</v>
      </c>
      <c r="H172" s="4" t="s">
        <v>85</v>
      </c>
    </row>
    <row r="173" spans="1:8" ht="30" customHeight="1">
      <c r="A173" s="3" t="s">
        <v>444</v>
      </c>
      <c r="B173" s="3" t="s">
        <v>85</v>
      </c>
      <c r="C173" s="3" t="s">
        <v>85</v>
      </c>
      <c r="D173" s="3" t="s">
        <v>85</v>
      </c>
      <c r="E173" s="3" t="s">
        <v>491</v>
      </c>
      <c r="F173" s="3" t="s">
        <v>492</v>
      </c>
      <c r="G173" s="3" t="s">
        <v>492</v>
      </c>
      <c r="H173" s="3" t="s">
        <v>85</v>
      </c>
    </row>
    <row r="174" spans="1:8" ht="30" customHeight="1">
      <c r="A174" s="4" t="s">
        <v>444</v>
      </c>
      <c r="B174" s="4" t="s">
        <v>85</v>
      </c>
      <c r="C174" s="4" t="s">
        <v>85</v>
      </c>
      <c r="D174" s="4" t="s">
        <v>85</v>
      </c>
      <c r="E174" s="4" t="s">
        <v>493</v>
      </c>
      <c r="F174" s="4" t="s">
        <v>494</v>
      </c>
      <c r="G174" s="4" t="s">
        <v>494</v>
      </c>
      <c r="H174" s="4" t="s">
        <v>85</v>
      </c>
    </row>
    <row r="175" spans="1:8" ht="48" customHeight="1">
      <c r="A175" s="3" t="s">
        <v>444</v>
      </c>
      <c r="B175" s="3" t="s">
        <v>495</v>
      </c>
      <c r="C175" s="3" t="s">
        <v>446</v>
      </c>
      <c r="D175" s="3" t="s">
        <v>496</v>
      </c>
      <c r="E175" s="3" t="s">
        <v>497</v>
      </c>
      <c r="F175" s="3" t="s">
        <v>498</v>
      </c>
      <c r="G175" s="3" t="s">
        <v>498</v>
      </c>
      <c r="H175" s="3" t="s">
        <v>499</v>
      </c>
    </row>
    <row r="176" spans="1:8" ht="30" customHeight="1">
      <c r="A176" s="4" t="s">
        <v>444</v>
      </c>
      <c r="B176" s="4" t="s">
        <v>85</v>
      </c>
      <c r="C176" s="4" t="s">
        <v>85</v>
      </c>
      <c r="D176" s="4" t="s">
        <v>85</v>
      </c>
      <c r="E176" s="4" t="s">
        <v>500</v>
      </c>
      <c r="F176" s="4" t="s">
        <v>501</v>
      </c>
      <c r="G176" s="4" t="s">
        <v>501</v>
      </c>
      <c r="H176" s="4" t="s">
        <v>85</v>
      </c>
    </row>
    <row r="177" spans="1:8" ht="30" customHeight="1">
      <c r="A177" s="3" t="s">
        <v>444</v>
      </c>
      <c r="B177" s="3" t="s">
        <v>85</v>
      </c>
      <c r="C177" s="3" t="s">
        <v>85</v>
      </c>
      <c r="D177" s="3" t="s">
        <v>85</v>
      </c>
      <c r="E177" s="3" t="s">
        <v>502</v>
      </c>
      <c r="F177" s="3" t="s">
        <v>503</v>
      </c>
      <c r="G177" s="3" t="s">
        <v>503</v>
      </c>
      <c r="H177" s="3" t="s">
        <v>85</v>
      </c>
    </row>
    <row r="178" spans="1:8" ht="30" customHeight="1">
      <c r="A178" s="4" t="s">
        <v>444</v>
      </c>
      <c r="B178" s="4" t="s">
        <v>85</v>
      </c>
      <c r="C178" s="4" t="s">
        <v>85</v>
      </c>
      <c r="D178" s="4" t="s">
        <v>85</v>
      </c>
      <c r="E178" s="4" t="s">
        <v>504</v>
      </c>
      <c r="F178" s="4" t="s">
        <v>505</v>
      </c>
      <c r="G178" s="4" t="s">
        <v>505</v>
      </c>
      <c r="H178" s="4" t="s">
        <v>85</v>
      </c>
    </row>
    <row r="179" spans="1:8" ht="48" customHeight="1">
      <c r="A179" s="3" t="s">
        <v>444</v>
      </c>
      <c r="B179" s="3" t="s">
        <v>506</v>
      </c>
      <c r="C179" s="3" t="s">
        <v>446</v>
      </c>
      <c r="D179" s="3" t="s">
        <v>507</v>
      </c>
      <c r="E179" s="3" t="s">
        <v>508</v>
      </c>
      <c r="F179" s="3" t="s">
        <v>509</v>
      </c>
      <c r="G179" s="3" t="s">
        <v>509</v>
      </c>
      <c r="H179" s="3" t="s">
        <v>510</v>
      </c>
    </row>
    <row r="180" spans="1:8" ht="30" customHeight="1">
      <c r="A180" s="4" t="s">
        <v>444</v>
      </c>
      <c r="B180" s="4" t="s">
        <v>85</v>
      </c>
      <c r="C180" s="4" t="s">
        <v>85</v>
      </c>
      <c r="D180" s="4" t="s">
        <v>85</v>
      </c>
      <c r="E180" s="4" t="s">
        <v>511</v>
      </c>
      <c r="F180" s="4" t="s">
        <v>512</v>
      </c>
      <c r="G180" s="4" t="s">
        <v>512</v>
      </c>
      <c r="H180" s="4" t="s">
        <v>85</v>
      </c>
    </row>
    <row r="181" spans="1:8" ht="30" customHeight="1">
      <c r="A181" s="3" t="s">
        <v>444</v>
      </c>
      <c r="B181" s="3" t="s">
        <v>85</v>
      </c>
      <c r="C181" s="3" t="s">
        <v>85</v>
      </c>
      <c r="D181" s="3" t="s">
        <v>85</v>
      </c>
      <c r="E181" s="3" t="s">
        <v>513</v>
      </c>
      <c r="F181" s="3" t="s">
        <v>514</v>
      </c>
      <c r="G181" s="3" t="s">
        <v>514</v>
      </c>
      <c r="H181" s="3" t="s">
        <v>85</v>
      </c>
    </row>
    <row r="182" spans="1:8" ht="30" customHeight="1">
      <c r="A182" s="4" t="s">
        <v>444</v>
      </c>
      <c r="B182" s="4" t="s">
        <v>85</v>
      </c>
      <c r="C182" s="4" t="s">
        <v>85</v>
      </c>
      <c r="D182" s="4" t="s">
        <v>85</v>
      </c>
      <c r="E182" s="4" t="s">
        <v>515</v>
      </c>
      <c r="F182" s="4" t="s">
        <v>516</v>
      </c>
      <c r="G182" s="4" t="s">
        <v>516</v>
      </c>
      <c r="H182" s="4" t="s">
        <v>85</v>
      </c>
    </row>
    <row r="183" spans="1:8" ht="30" customHeight="1">
      <c r="A183" s="3" t="s">
        <v>444</v>
      </c>
      <c r="B183" s="3" t="s">
        <v>85</v>
      </c>
      <c r="C183" s="3" t="s">
        <v>85</v>
      </c>
      <c r="D183" s="3" t="s">
        <v>85</v>
      </c>
      <c r="E183" s="3" t="s">
        <v>517</v>
      </c>
      <c r="F183" s="3" t="s">
        <v>514</v>
      </c>
      <c r="G183" s="3" t="s">
        <v>514</v>
      </c>
      <c r="H183" s="3" t="s">
        <v>85</v>
      </c>
    </row>
    <row r="184" spans="1:8" ht="48" customHeight="1">
      <c r="A184" s="4" t="s">
        <v>444</v>
      </c>
      <c r="B184" s="4" t="s">
        <v>518</v>
      </c>
      <c r="C184" s="4" t="s">
        <v>446</v>
      </c>
      <c r="D184" s="4" t="s">
        <v>519</v>
      </c>
      <c r="E184" s="4" t="s">
        <v>520</v>
      </c>
      <c r="F184" s="4" t="s">
        <v>521</v>
      </c>
      <c r="G184" s="4" t="s">
        <v>521</v>
      </c>
      <c r="H184" s="4" t="s">
        <v>85</v>
      </c>
    </row>
    <row r="185" spans="1:8" ht="30" customHeight="1">
      <c r="A185" s="3" t="s">
        <v>444</v>
      </c>
      <c r="B185" s="3" t="s">
        <v>85</v>
      </c>
      <c r="C185" s="3" t="s">
        <v>85</v>
      </c>
      <c r="D185" s="3" t="s">
        <v>85</v>
      </c>
      <c r="E185" s="3" t="s">
        <v>522</v>
      </c>
      <c r="F185" s="3" t="s">
        <v>523</v>
      </c>
      <c r="G185" s="3" t="s">
        <v>523</v>
      </c>
      <c r="H185" s="3" t="s">
        <v>85</v>
      </c>
    </row>
    <row r="186" spans="1:8" ht="30" customHeight="1">
      <c r="A186" s="4" t="s">
        <v>444</v>
      </c>
      <c r="B186" s="4" t="s">
        <v>85</v>
      </c>
      <c r="C186" s="4" t="s">
        <v>85</v>
      </c>
      <c r="D186" s="4" t="s">
        <v>85</v>
      </c>
      <c r="E186" s="4" t="s">
        <v>524</v>
      </c>
      <c r="F186" s="4" t="s">
        <v>470</v>
      </c>
      <c r="G186" s="4" t="s">
        <v>470</v>
      </c>
      <c r="H186" s="4" t="s">
        <v>85</v>
      </c>
    </row>
    <row r="187" spans="1:8" ht="30" customHeight="1">
      <c r="A187" s="3" t="s">
        <v>444</v>
      </c>
      <c r="B187" s="3" t="s">
        <v>85</v>
      </c>
      <c r="C187" s="3" t="s">
        <v>85</v>
      </c>
      <c r="D187" s="3" t="s">
        <v>85</v>
      </c>
      <c r="E187" s="3" t="s">
        <v>525</v>
      </c>
      <c r="F187" s="3" t="s">
        <v>526</v>
      </c>
      <c r="G187" s="3" t="s">
        <v>526</v>
      </c>
      <c r="H187" s="3" t="s">
        <v>85</v>
      </c>
    </row>
    <row r="188" spans="1:8" ht="30" customHeight="1">
      <c r="A188" s="4" t="s">
        <v>444</v>
      </c>
      <c r="B188" s="4" t="s">
        <v>85</v>
      </c>
      <c r="C188" s="4" t="s">
        <v>85</v>
      </c>
      <c r="D188" s="4" t="s">
        <v>85</v>
      </c>
      <c r="E188" s="4" t="s">
        <v>527</v>
      </c>
      <c r="F188" s="4" t="s">
        <v>528</v>
      </c>
      <c r="G188" s="4" t="s">
        <v>528</v>
      </c>
      <c r="H188" s="4" t="s">
        <v>85</v>
      </c>
    </row>
    <row r="189" spans="1:8" ht="48" customHeight="1">
      <c r="A189" s="3" t="s">
        <v>444</v>
      </c>
      <c r="B189" s="3" t="s">
        <v>529</v>
      </c>
      <c r="C189" s="3" t="s">
        <v>446</v>
      </c>
      <c r="D189" s="3" t="s">
        <v>530</v>
      </c>
      <c r="E189" s="3" t="s">
        <v>520</v>
      </c>
      <c r="F189" s="3" t="s">
        <v>521</v>
      </c>
      <c r="G189" s="3" t="s">
        <v>521</v>
      </c>
      <c r="H189" s="3" t="s">
        <v>85</v>
      </c>
    </row>
    <row r="190" spans="1:8" ht="30" customHeight="1">
      <c r="A190" s="4" t="s">
        <v>444</v>
      </c>
      <c r="B190" s="4" t="s">
        <v>85</v>
      </c>
      <c r="C190" s="4" t="s">
        <v>85</v>
      </c>
      <c r="D190" s="4" t="s">
        <v>85</v>
      </c>
      <c r="E190" s="4" t="s">
        <v>522</v>
      </c>
      <c r="F190" s="4" t="s">
        <v>523</v>
      </c>
      <c r="G190" s="4" t="s">
        <v>523</v>
      </c>
      <c r="H190" s="4" t="s">
        <v>85</v>
      </c>
    </row>
    <row r="191" spans="1:8" ht="30" customHeight="1">
      <c r="A191" s="3" t="s">
        <v>444</v>
      </c>
      <c r="B191" s="3" t="s">
        <v>85</v>
      </c>
      <c r="C191" s="3" t="s">
        <v>85</v>
      </c>
      <c r="D191" s="3" t="s">
        <v>85</v>
      </c>
      <c r="E191" s="3" t="s">
        <v>524</v>
      </c>
      <c r="F191" s="3" t="s">
        <v>470</v>
      </c>
      <c r="G191" s="3" t="s">
        <v>470</v>
      </c>
      <c r="H191" s="3" t="s">
        <v>85</v>
      </c>
    </row>
    <row r="192" spans="1:8" ht="30" customHeight="1">
      <c r="A192" s="4" t="s">
        <v>444</v>
      </c>
      <c r="B192" s="4" t="s">
        <v>85</v>
      </c>
      <c r="C192" s="4" t="s">
        <v>85</v>
      </c>
      <c r="D192" s="4" t="s">
        <v>85</v>
      </c>
      <c r="E192" s="4" t="s">
        <v>531</v>
      </c>
      <c r="F192" s="4" t="s">
        <v>528</v>
      </c>
      <c r="G192" s="4" t="s">
        <v>528</v>
      </c>
      <c r="H192" s="4" t="s">
        <v>85</v>
      </c>
    </row>
    <row r="193" spans="1:8" ht="48" customHeight="1">
      <c r="A193" s="3" t="s">
        <v>444</v>
      </c>
      <c r="B193" s="3" t="s">
        <v>532</v>
      </c>
      <c r="C193" s="3" t="s">
        <v>446</v>
      </c>
      <c r="D193" s="3" t="s">
        <v>533</v>
      </c>
      <c r="E193" s="3" t="s">
        <v>64</v>
      </c>
      <c r="F193" s="3" t="s">
        <v>534</v>
      </c>
      <c r="G193" s="3" t="s">
        <v>534</v>
      </c>
      <c r="H193" s="3" t="s">
        <v>535</v>
      </c>
    </row>
    <row r="194" spans="1:8" ht="66" customHeight="1">
      <c r="A194" s="4" t="s">
        <v>44</v>
      </c>
      <c r="B194" s="4" t="s">
        <v>536</v>
      </c>
      <c r="C194" s="4" t="s">
        <v>537</v>
      </c>
      <c r="D194" s="4" t="s">
        <v>538</v>
      </c>
      <c r="E194" s="4" t="s">
        <v>539</v>
      </c>
      <c r="F194" s="4" t="s">
        <v>540</v>
      </c>
      <c r="G194" s="4" t="s">
        <v>540</v>
      </c>
      <c r="H194" s="4" t="s">
        <v>85</v>
      </c>
    </row>
    <row r="195" spans="1:8" ht="66" customHeight="1">
      <c r="A195" s="3" t="s">
        <v>44</v>
      </c>
      <c r="B195" s="3" t="s">
        <v>85</v>
      </c>
      <c r="C195" s="3" t="s">
        <v>85</v>
      </c>
      <c r="D195" s="3" t="s">
        <v>85</v>
      </c>
      <c r="E195" s="3" t="s">
        <v>541</v>
      </c>
      <c r="F195" s="3" t="s">
        <v>542</v>
      </c>
      <c r="G195" s="3" t="s">
        <v>540</v>
      </c>
      <c r="H195" s="3" t="s">
        <v>85</v>
      </c>
    </row>
    <row r="196" spans="1:8" ht="66" customHeight="1">
      <c r="A196" s="4" t="s">
        <v>44</v>
      </c>
      <c r="B196" s="4" t="s">
        <v>85</v>
      </c>
      <c r="C196" s="4" t="s">
        <v>85</v>
      </c>
      <c r="D196" s="4" t="s">
        <v>85</v>
      </c>
      <c r="E196" s="4" t="s">
        <v>543</v>
      </c>
      <c r="F196" s="4" t="s">
        <v>544</v>
      </c>
      <c r="G196" s="4" t="s">
        <v>545</v>
      </c>
      <c r="H196" s="4" t="s">
        <v>85</v>
      </c>
    </row>
    <row r="197" spans="1:8" ht="66" customHeight="1">
      <c r="A197" s="3" t="s">
        <v>44</v>
      </c>
      <c r="B197" s="3" t="s">
        <v>85</v>
      </c>
      <c r="C197" s="3" t="s">
        <v>85</v>
      </c>
      <c r="D197" s="3" t="s">
        <v>85</v>
      </c>
      <c r="E197" s="3" t="s">
        <v>546</v>
      </c>
      <c r="F197" s="3" t="s">
        <v>547</v>
      </c>
      <c r="G197" s="3" t="s">
        <v>545</v>
      </c>
      <c r="H197" s="3" t="s">
        <v>85</v>
      </c>
    </row>
    <row r="198" spans="1:8" ht="66" customHeight="1">
      <c r="A198" s="4" t="s">
        <v>44</v>
      </c>
      <c r="B198" s="4" t="s">
        <v>85</v>
      </c>
      <c r="C198" s="4" t="s">
        <v>85</v>
      </c>
      <c r="D198" s="4" t="s">
        <v>85</v>
      </c>
      <c r="E198" s="4" t="s">
        <v>548</v>
      </c>
      <c r="F198" s="4" t="s">
        <v>549</v>
      </c>
      <c r="G198" s="4" t="s">
        <v>550</v>
      </c>
      <c r="H198" s="4" t="s">
        <v>85</v>
      </c>
    </row>
    <row r="199" spans="1:8" ht="66" customHeight="1">
      <c r="A199" s="3" t="s">
        <v>44</v>
      </c>
      <c r="B199" s="3" t="s">
        <v>85</v>
      </c>
      <c r="C199" s="3" t="s">
        <v>85</v>
      </c>
      <c r="D199" s="3" t="s">
        <v>85</v>
      </c>
      <c r="E199" s="3" t="s">
        <v>551</v>
      </c>
      <c r="F199" s="3" t="s">
        <v>550</v>
      </c>
      <c r="G199" s="3" t="s">
        <v>550</v>
      </c>
      <c r="H199" s="3" t="s">
        <v>85</v>
      </c>
    </row>
    <row r="200" spans="1:8" ht="66" customHeight="1">
      <c r="A200" s="4" t="s">
        <v>44</v>
      </c>
      <c r="B200" s="4" t="s">
        <v>85</v>
      </c>
      <c r="C200" s="4" t="s">
        <v>85</v>
      </c>
      <c r="D200" s="4" t="s">
        <v>85</v>
      </c>
      <c r="E200" s="4" t="s">
        <v>552</v>
      </c>
      <c r="F200" s="4" t="s">
        <v>553</v>
      </c>
      <c r="G200" s="4" t="s">
        <v>550</v>
      </c>
      <c r="H200" s="4" t="s">
        <v>85</v>
      </c>
    </row>
    <row r="201" spans="1:8" ht="66" customHeight="1">
      <c r="A201" s="3" t="s">
        <v>44</v>
      </c>
      <c r="B201" s="3" t="s">
        <v>85</v>
      </c>
      <c r="C201" s="3" t="s">
        <v>85</v>
      </c>
      <c r="D201" s="3" t="s">
        <v>85</v>
      </c>
      <c r="E201" s="3" t="s">
        <v>554</v>
      </c>
      <c r="F201" s="3" t="s">
        <v>555</v>
      </c>
      <c r="G201" s="3" t="s">
        <v>550</v>
      </c>
      <c r="H201" s="3" t="s">
        <v>85</v>
      </c>
    </row>
    <row r="202" spans="1:8" ht="66" customHeight="1">
      <c r="A202" s="4" t="s">
        <v>44</v>
      </c>
      <c r="B202" s="4" t="s">
        <v>85</v>
      </c>
      <c r="C202" s="4" t="s">
        <v>85</v>
      </c>
      <c r="D202" s="4" t="s">
        <v>85</v>
      </c>
      <c r="E202" s="4" t="s">
        <v>556</v>
      </c>
      <c r="F202" s="4" t="s">
        <v>557</v>
      </c>
      <c r="G202" s="4" t="s">
        <v>557</v>
      </c>
      <c r="H202" s="4" t="s">
        <v>85</v>
      </c>
    </row>
    <row r="203" spans="1:8" ht="66" customHeight="1">
      <c r="A203" s="3" t="s">
        <v>44</v>
      </c>
      <c r="B203" s="3" t="s">
        <v>85</v>
      </c>
      <c r="C203" s="3" t="s">
        <v>85</v>
      </c>
      <c r="D203" s="3" t="s">
        <v>85</v>
      </c>
      <c r="E203" s="3" t="s">
        <v>558</v>
      </c>
      <c r="F203" s="3" t="s">
        <v>559</v>
      </c>
      <c r="G203" s="3" t="s">
        <v>559</v>
      </c>
      <c r="H203" s="3" t="s">
        <v>85</v>
      </c>
    </row>
    <row r="204" spans="1:8" ht="66" customHeight="1">
      <c r="A204" s="4" t="s">
        <v>44</v>
      </c>
      <c r="B204" s="4" t="s">
        <v>560</v>
      </c>
      <c r="C204" s="4" t="s">
        <v>537</v>
      </c>
      <c r="D204" s="4" t="s">
        <v>561</v>
      </c>
      <c r="E204" s="4" t="s">
        <v>562</v>
      </c>
      <c r="F204" s="4" t="s">
        <v>563</v>
      </c>
      <c r="G204" s="4" t="s">
        <v>563</v>
      </c>
      <c r="H204" s="4" t="s">
        <v>564</v>
      </c>
    </row>
    <row r="205" spans="1:8" ht="66" customHeight="1">
      <c r="A205" s="3" t="s">
        <v>44</v>
      </c>
      <c r="B205" s="3" t="s">
        <v>85</v>
      </c>
      <c r="C205" s="3" t="s">
        <v>85</v>
      </c>
      <c r="D205" s="3" t="s">
        <v>85</v>
      </c>
      <c r="E205" s="3" t="s">
        <v>565</v>
      </c>
      <c r="F205" s="3" t="s">
        <v>566</v>
      </c>
      <c r="G205" s="3" t="s">
        <v>566</v>
      </c>
      <c r="H205" s="3" t="s">
        <v>85</v>
      </c>
    </row>
    <row r="206" spans="1:8" ht="66" customHeight="1">
      <c r="A206" s="4" t="s">
        <v>44</v>
      </c>
      <c r="B206" s="4" t="s">
        <v>85</v>
      </c>
      <c r="C206" s="4" t="s">
        <v>85</v>
      </c>
      <c r="D206" s="4" t="s">
        <v>85</v>
      </c>
      <c r="E206" s="4" t="s">
        <v>567</v>
      </c>
      <c r="F206" s="4" t="s">
        <v>568</v>
      </c>
      <c r="G206" s="4" t="s">
        <v>568</v>
      </c>
      <c r="H206" s="4" t="s">
        <v>85</v>
      </c>
    </row>
    <row r="207" spans="1:8" ht="66" customHeight="1">
      <c r="A207" s="3" t="s">
        <v>44</v>
      </c>
      <c r="B207" s="3" t="s">
        <v>85</v>
      </c>
      <c r="C207" s="3" t="s">
        <v>85</v>
      </c>
      <c r="D207" s="3" t="s">
        <v>85</v>
      </c>
      <c r="E207" s="3" t="s">
        <v>569</v>
      </c>
      <c r="F207" s="3" t="s">
        <v>570</v>
      </c>
      <c r="G207" s="3" t="s">
        <v>571</v>
      </c>
      <c r="H207" s="3" t="s">
        <v>85</v>
      </c>
    </row>
    <row r="208" spans="1:8" ht="66" customHeight="1">
      <c r="A208" s="4" t="s">
        <v>44</v>
      </c>
      <c r="B208" s="4" t="s">
        <v>572</v>
      </c>
      <c r="C208" s="4" t="s">
        <v>537</v>
      </c>
      <c r="D208" s="4" t="s">
        <v>573</v>
      </c>
      <c r="E208" s="4" t="s">
        <v>574</v>
      </c>
      <c r="F208" s="4" t="s">
        <v>575</v>
      </c>
      <c r="G208" s="4" t="s">
        <v>575</v>
      </c>
      <c r="H208" s="4" t="s">
        <v>576</v>
      </c>
    </row>
    <row r="209" spans="1:8" ht="66" customHeight="1">
      <c r="A209" s="3" t="s">
        <v>44</v>
      </c>
      <c r="B209" s="3" t="s">
        <v>85</v>
      </c>
      <c r="C209" s="3" t="s">
        <v>85</v>
      </c>
      <c r="D209" s="3" t="s">
        <v>85</v>
      </c>
      <c r="E209" s="3" t="s">
        <v>577</v>
      </c>
      <c r="F209" s="3" t="s">
        <v>578</v>
      </c>
      <c r="G209" s="3" t="s">
        <v>578</v>
      </c>
      <c r="H209" s="3" t="s">
        <v>85</v>
      </c>
    </row>
    <row r="210" spans="1:8" ht="66" customHeight="1">
      <c r="A210" s="4" t="s">
        <v>44</v>
      </c>
      <c r="B210" s="4" t="s">
        <v>85</v>
      </c>
      <c r="C210" s="4" t="s">
        <v>85</v>
      </c>
      <c r="D210" s="4" t="s">
        <v>85</v>
      </c>
      <c r="E210" s="4" t="s">
        <v>579</v>
      </c>
      <c r="F210" s="4" t="s">
        <v>580</v>
      </c>
      <c r="G210" s="4" t="s">
        <v>580</v>
      </c>
      <c r="H210" s="4" t="s">
        <v>85</v>
      </c>
    </row>
    <row r="211" spans="1:8" ht="66" customHeight="1">
      <c r="A211" s="3" t="s">
        <v>44</v>
      </c>
      <c r="B211" s="3" t="s">
        <v>85</v>
      </c>
      <c r="C211" s="3" t="s">
        <v>85</v>
      </c>
      <c r="D211" s="3" t="s">
        <v>85</v>
      </c>
      <c r="E211" s="3" t="s">
        <v>581</v>
      </c>
      <c r="F211" s="3" t="s">
        <v>582</v>
      </c>
      <c r="G211" s="3" t="s">
        <v>582</v>
      </c>
      <c r="H211" s="3" t="s">
        <v>85</v>
      </c>
    </row>
    <row r="212" spans="1:8" ht="66" customHeight="1">
      <c r="A212" s="4" t="s">
        <v>44</v>
      </c>
      <c r="B212" s="4" t="s">
        <v>85</v>
      </c>
      <c r="C212" s="4" t="s">
        <v>85</v>
      </c>
      <c r="D212" s="4" t="s">
        <v>85</v>
      </c>
      <c r="E212" s="4" t="s">
        <v>583</v>
      </c>
      <c r="F212" s="4" t="s">
        <v>584</v>
      </c>
      <c r="G212" s="4" t="s">
        <v>584</v>
      </c>
      <c r="H212" s="4" t="s">
        <v>85</v>
      </c>
    </row>
    <row r="213" spans="1:8" ht="66" customHeight="1">
      <c r="A213" s="3" t="s">
        <v>44</v>
      </c>
      <c r="B213" s="3" t="s">
        <v>585</v>
      </c>
      <c r="C213" s="3" t="s">
        <v>537</v>
      </c>
      <c r="D213" s="3" t="s">
        <v>586</v>
      </c>
      <c r="E213" s="3" t="s">
        <v>587</v>
      </c>
      <c r="F213" s="3" t="s">
        <v>588</v>
      </c>
      <c r="G213" s="3" t="s">
        <v>588</v>
      </c>
      <c r="H213" s="3" t="s">
        <v>85</v>
      </c>
    </row>
    <row r="214" spans="1:8" ht="66" customHeight="1">
      <c r="A214" s="4" t="s">
        <v>44</v>
      </c>
      <c r="B214" s="4" t="s">
        <v>85</v>
      </c>
      <c r="C214" s="4" t="s">
        <v>85</v>
      </c>
      <c r="D214" s="4" t="s">
        <v>85</v>
      </c>
      <c r="E214" s="4" t="s">
        <v>589</v>
      </c>
      <c r="F214" s="4" t="s">
        <v>590</v>
      </c>
      <c r="G214" s="4" t="s">
        <v>590</v>
      </c>
      <c r="H214" s="4" t="s">
        <v>85</v>
      </c>
    </row>
    <row r="215" spans="1:8" ht="66" customHeight="1">
      <c r="A215" s="3" t="s">
        <v>44</v>
      </c>
      <c r="B215" s="3" t="s">
        <v>85</v>
      </c>
      <c r="C215" s="3" t="s">
        <v>85</v>
      </c>
      <c r="D215" s="3" t="s">
        <v>85</v>
      </c>
      <c r="E215" s="3" t="s">
        <v>591</v>
      </c>
      <c r="F215" s="3" t="s">
        <v>592</v>
      </c>
      <c r="G215" s="3" t="s">
        <v>592</v>
      </c>
      <c r="H215" s="3" t="s">
        <v>85</v>
      </c>
    </row>
    <row r="216" spans="1:8" ht="66" customHeight="1">
      <c r="A216" s="4" t="s">
        <v>44</v>
      </c>
      <c r="B216" s="4" t="s">
        <v>85</v>
      </c>
      <c r="C216" s="4" t="s">
        <v>85</v>
      </c>
      <c r="D216" s="4" t="s">
        <v>85</v>
      </c>
      <c r="E216" s="4" t="s">
        <v>593</v>
      </c>
      <c r="F216" s="4" t="s">
        <v>594</v>
      </c>
      <c r="G216" s="4" t="s">
        <v>594</v>
      </c>
      <c r="H216" s="4" t="s">
        <v>85</v>
      </c>
    </row>
    <row r="217" spans="1:8" ht="66" customHeight="1">
      <c r="A217" s="3" t="s">
        <v>44</v>
      </c>
      <c r="B217" s="3" t="s">
        <v>85</v>
      </c>
      <c r="C217" s="3" t="s">
        <v>85</v>
      </c>
      <c r="D217" s="3" t="s">
        <v>85</v>
      </c>
      <c r="E217" s="3" t="s">
        <v>595</v>
      </c>
      <c r="F217" s="3" t="s">
        <v>596</v>
      </c>
      <c r="G217" s="3" t="s">
        <v>596</v>
      </c>
      <c r="H217" s="3" t="s">
        <v>85</v>
      </c>
    </row>
    <row r="218" spans="1:8" ht="66" customHeight="1">
      <c r="A218" s="4" t="s">
        <v>44</v>
      </c>
      <c r="B218" s="4" t="s">
        <v>597</v>
      </c>
      <c r="C218" s="4" t="s">
        <v>537</v>
      </c>
      <c r="D218" s="4" t="s">
        <v>598</v>
      </c>
      <c r="E218" s="4" t="s">
        <v>599</v>
      </c>
      <c r="F218" s="4" t="s">
        <v>600</v>
      </c>
      <c r="G218" s="4" t="s">
        <v>600</v>
      </c>
      <c r="H218" s="4" t="s">
        <v>85</v>
      </c>
    </row>
    <row r="219" spans="1:8" ht="66" customHeight="1">
      <c r="A219" s="3" t="s">
        <v>44</v>
      </c>
      <c r="B219" s="3" t="s">
        <v>85</v>
      </c>
      <c r="C219" s="3" t="s">
        <v>85</v>
      </c>
      <c r="D219" s="3" t="s">
        <v>85</v>
      </c>
      <c r="E219" s="3" t="s">
        <v>601</v>
      </c>
      <c r="F219" s="3" t="s">
        <v>602</v>
      </c>
      <c r="G219" s="3" t="s">
        <v>602</v>
      </c>
      <c r="H219" s="3" t="s">
        <v>85</v>
      </c>
    </row>
    <row r="220" spans="1:8" ht="66" customHeight="1">
      <c r="A220" s="4" t="s">
        <v>44</v>
      </c>
      <c r="B220" s="4" t="s">
        <v>85</v>
      </c>
      <c r="C220" s="4" t="s">
        <v>85</v>
      </c>
      <c r="D220" s="4" t="s">
        <v>85</v>
      </c>
      <c r="E220" s="4" t="s">
        <v>603</v>
      </c>
      <c r="F220" s="4" t="s">
        <v>604</v>
      </c>
      <c r="G220" s="4" t="s">
        <v>604</v>
      </c>
      <c r="H220" s="4" t="s">
        <v>85</v>
      </c>
    </row>
    <row r="221" spans="1:8" ht="66" customHeight="1">
      <c r="A221" s="3" t="s">
        <v>44</v>
      </c>
      <c r="B221" s="3" t="s">
        <v>85</v>
      </c>
      <c r="C221" s="3" t="s">
        <v>85</v>
      </c>
      <c r="D221" s="3" t="s">
        <v>85</v>
      </c>
      <c r="E221" s="3" t="s">
        <v>605</v>
      </c>
      <c r="F221" s="3" t="s">
        <v>606</v>
      </c>
      <c r="G221" s="3" t="s">
        <v>606</v>
      </c>
      <c r="H221" s="3" t="s">
        <v>85</v>
      </c>
    </row>
    <row r="222" spans="1:8" ht="66" customHeight="1">
      <c r="A222" s="4" t="s">
        <v>44</v>
      </c>
      <c r="B222" s="4" t="s">
        <v>607</v>
      </c>
      <c r="C222" s="4" t="s">
        <v>537</v>
      </c>
      <c r="D222" s="4" t="s">
        <v>608</v>
      </c>
      <c r="E222" s="4" t="s">
        <v>609</v>
      </c>
      <c r="F222" s="4" t="s">
        <v>610</v>
      </c>
      <c r="G222" s="4" t="s">
        <v>610</v>
      </c>
      <c r="H222" s="4" t="s">
        <v>85</v>
      </c>
    </row>
    <row r="223" spans="1:8" ht="66" customHeight="1">
      <c r="A223" s="3" t="s">
        <v>44</v>
      </c>
      <c r="B223" s="3" t="s">
        <v>85</v>
      </c>
      <c r="C223" s="3" t="s">
        <v>85</v>
      </c>
      <c r="D223" s="3" t="s">
        <v>85</v>
      </c>
      <c r="E223" s="3" t="s">
        <v>611</v>
      </c>
      <c r="F223" s="3" t="s">
        <v>612</v>
      </c>
      <c r="G223" s="3" t="s">
        <v>612</v>
      </c>
      <c r="H223" s="3" t="s">
        <v>85</v>
      </c>
    </row>
    <row r="224" spans="1:8" ht="66" customHeight="1">
      <c r="A224" s="4" t="s">
        <v>44</v>
      </c>
      <c r="B224" s="4" t="s">
        <v>85</v>
      </c>
      <c r="C224" s="4" t="s">
        <v>85</v>
      </c>
      <c r="D224" s="4" t="s">
        <v>85</v>
      </c>
      <c r="E224" s="4" t="s">
        <v>613</v>
      </c>
      <c r="F224" s="4" t="s">
        <v>614</v>
      </c>
      <c r="G224" s="4" t="s">
        <v>614</v>
      </c>
      <c r="H224" s="4" t="s">
        <v>85</v>
      </c>
    </row>
    <row r="225" spans="1:8" ht="66" customHeight="1">
      <c r="A225" s="3" t="s">
        <v>44</v>
      </c>
      <c r="B225" s="3" t="s">
        <v>85</v>
      </c>
      <c r="C225" s="3" t="s">
        <v>85</v>
      </c>
      <c r="D225" s="3" t="s">
        <v>85</v>
      </c>
      <c r="E225" s="3" t="s">
        <v>615</v>
      </c>
      <c r="F225" s="3" t="s">
        <v>616</v>
      </c>
      <c r="G225" s="3" t="s">
        <v>616</v>
      </c>
      <c r="H225" s="3" t="s">
        <v>85</v>
      </c>
    </row>
    <row r="226" spans="1:8" ht="66" customHeight="1">
      <c r="A226" s="4" t="s">
        <v>44</v>
      </c>
      <c r="B226" s="4" t="s">
        <v>85</v>
      </c>
      <c r="C226" s="4" t="s">
        <v>85</v>
      </c>
      <c r="D226" s="4" t="s">
        <v>85</v>
      </c>
      <c r="E226" s="4" t="s">
        <v>617</v>
      </c>
      <c r="F226" s="4" t="s">
        <v>618</v>
      </c>
      <c r="G226" s="4" t="s">
        <v>618</v>
      </c>
      <c r="H226" s="4" t="s">
        <v>85</v>
      </c>
    </row>
    <row r="227" spans="1:8" ht="66" customHeight="1">
      <c r="A227" s="3" t="s">
        <v>44</v>
      </c>
      <c r="B227" s="3" t="s">
        <v>619</v>
      </c>
      <c r="C227" s="3" t="s">
        <v>537</v>
      </c>
      <c r="D227" s="3" t="s">
        <v>620</v>
      </c>
      <c r="E227" s="3" t="s">
        <v>609</v>
      </c>
      <c r="F227" s="3" t="s">
        <v>466</v>
      </c>
      <c r="G227" s="3" t="s">
        <v>466</v>
      </c>
      <c r="H227" s="3" t="s">
        <v>621</v>
      </c>
    </row>
    <row r="228" spans="1:8" ht="66" customHeight="1">
      <c r="A228" s="4" t="s">
        <v>44</v>
      </c>
      <c r="B228" s="4" t="s">
        <v>85</v>
      </c>
      <c r="C228" s="4" t="s">
        <v>85</v>
      </c>
      <c r="D228" s="4" t="s">
        <v>85</v>
      </c>
      <c r="E228" s="4" t="s">
        <v>611</v>
      </c>
      <c r="F228" s="4" t="s">
        <v>468</v>
      </c>
      <c r="G228" s="4" t="s">
        <v>468</v>
      </c>
      <c r="H228" s="4" t="s">
        <v>85</v>
      </c>
    </row>
    <row r="229" spans="1:8" ht="66" customHeight="1">
      <c r="A229" s="3" t="s">
        <v>44</v>
      </c>
      <c r="B229" s="3" t="s">
        <v>85</v>
      </c>
      <c r="C229" s="3" t="s">
        <v>85</v>
      </c>
      <c r="D229" s="3" t="s">
        <v>85</v>
      </c>
      <c r="E229" s="3" t="s">
        <v>613</v>
      </c>
      <c r="F229" s="3" t="s">
        <v>622</v>
      </c>
      <c r="G229" s="3" t="s">
        <v>622</v>
      </c>
      <c r="H229" s="3" t="s">
        <v>85</v>
      </c>
    </row>
    <row r="230" spans="1:8" ht="66" customHeight="1">
      <c r="A230" s="4" t="s">
        <v>44</v>
      </c>
      <c r="B230" s="4" t="s">
        <v>85</v>
      </c>
      <c r="C230" s="4" t="s">
        <v>85</v>
      </c>
      <c r="D230" s="4" t="s">
        <v>85</v>
      </c>
      <c r="E230" s="4" t="s">
        <v>615</v>
      </c>
      <c r="F230" s="4" t="s">
        <v>623</v>
      </c>
      <c r="G230" s="4" t="s">
        <v>623</v>
      </c>
      <c r="H230" s="4" t="s">
        <v>85</v>
      </c>
    </row>
    <row r="231" spans="1:8" ht="66" customHeight="1">
      <c r="A231" s="3" t="s">
        <v>44</v>
      </c>
      <c r="B231" s="3" t="s">
        <v>85</v>
      </c>
      <c r="C231" s="3" t="s">
        <v>85</v>
      </c>
      <c r="D231" s="3" t="s">
        <v>85</v>
      </c>
      <c r="E231" s="3" t="s">
        <v>617</v>
      </c>
      <c r="F231" s="3" t="s">
        <v>624</v>
      </c>
      <c r="G231" s="3" t="s">
        <v>624</v>
      </c>
      <c r="H231" s="3" t="s">
        <v>85</v>
      </c>
    </row>
    <row r="232" spans="1:8" ht="66" customHeight="1">
      <c r="A232" s="4" t="s">
        <v>44</v>
      </c>
      <c r="B232" s="4" t="s">
        <v>625</v>
      </c>
      <c r="C232" s="4" t="s">
        <v>537</v>
      </c>
      <c r="D232" s="4" t="s">
        <v>626</v>
      </c>
      <c r="E232" s="4" t="s">
        <v>609</v>
      </c>
      <c r="F232" s="4" t="s">
        <v>466</v>
      </c>
      <c r="G232" s="4" t="s">
        <v>466</v>
      </c>
      <c r="H232" s="4" t="s">
        <v>627</v>
      </c>
    </row>
    <row r="233" spans="1:8" ht="66" customHeight="1">
      <c r="A233" s="3" t="s">
        <v>44</v>
      </c>
      <c r="B233" s="3" t="s">
        <v>85</v>
      </c>
      <c r="C233" s="3" t="s">
        <v>85</v>
      </c>
      <c r="D233" s="3" t="s">
        <v>85</v>
      </c>
      <c r="E233" s="3" t="s">
        <v>611</v>
      </c>
      <c r="F233" s="3" t="s">
        <v>468</v>
      </c>
      <c r="G233" s="3" t="s">
        <v>468</v>
      </c>
      <c r="H233" s="3" t="s">
        <v>85</v>
      </c>
    </row>
    <row r="234" spans="1:8" ht="66" customHeight="1">
      <c r="A234" s="4" t="s">
        <v>44</v>
      </c>
      <c r="B234" s="4" t="s">
        <v>85</v>
      </c>
      <c r="C234" s="4" t="s">
        <v>85</v>
      </c>
      <c r="D234" s="4" t="s">
        <v>85</v>
      </c>
      <c r="E234" s="4" t="s">
        <v>613</v>
      </c>
      <c r="F234" s="4" t="s">
        <v>622</v>
      </c>
      <c r="G234" s="4" t="s">
        <v>622</v>
      </c>
      <c r="H234" s="4" t="s">
        <v>85</v>
      </c>
    </row>
    <row r="235" spans="1:8" ht="66" customHeight="1">
      <c r="A235" s="3" t="s">
        <v>44</v>
      </c>
      <c r="B235" s="3" t="s">
        <v>85</v>
      </c>
      <c r="C235" s="3" t="s">
        <v>85</v>
      </c>
      <c r="D235" s="3" t="s">
        <v>85</v>
      </c>
      <c r="E235" s="3" t="s">
        <v>615</v>
      </c>
      <c r="F235" s="3" t="s">
        <v>623</v>
      </c>
      <c r="G235" s="3" t="s">
        <v>623</v>
      </c>
      <c r="H235" s="3" t="s">
        <v>85</v>
      </c>
    </row>
    <row r="236" spans="1:8" ht="66" customHeight="1">
      <c r="A236" s="4" t="s">
        <v>44</v>
      </c>
      <c r="B236" s="4" t="s">
        <v>85</v>
      </c>
      <c r="C236" s="4" t="s">
        <v>85</v>
      </c>
      <c r="D236" s="4" t="s">
        <v>85</v>
      </c>
      <c r="E236" s="4" t="s">
        <v>617</v>
      </c>
      <c r="F236" s="4" t="s">
        <v>624</v>
      </c>
      <c r="G236" s="4" t="s">
        <v>624</v>
      </c>
      <c r="H236" s="4" t="s">
        <v>85</v>
      </c>
    </row>
    <row r="237" spans="1:8" ht="66" customHeight="1">
      <c r="A237" s="3" t="s">
        <v>44</v>
      </c>
      <c r="B237" s="3" t="s">
        <v>628</v>
      </c>
      <c r="C237" s="3" t="s">
        <v>537</v>
      </c>
      <c r="D237" s="3" t="s">
        <v>629</v>
      </c>
      <c r="E237" s="3" t="s">
        <v>630</v>
      </c>
      <c r="F237" s="3" t="s">
        <v>631</v>
      </c>
      <c r="G237" s="3" t="s">
        <v>631</v>
      </c>
      <c r="H237" s="3" t="s">
        <v>632</v>
      </c>
    </row>
    <row r="238" spans="1:8" ht="66" customHeight="1">
      <c r="A238" s="4" t="s">
        <v>44</v>
      </c>
      <c r="B238" s="4" t="s">
        <v>633</v>
      </c>
      <c r="C238" s="4" t="s">
        <v>537</v>
      </c>
      <c r="D238" s="4" t="s">
        <v>634</v>
      </c>
      <c r="E238" s="4" t="s">
        <v>630</v>
      </c>
      <c r="F238" s="4" t="s">
        <v>631</v>
      </c>
      <c r="G238" s="4" t="s">
        <v>631</v>
      </c>
      <c r="H238" s="4" t="s">
        <v>627</v>
      </c>
    </row>
    <row r="239" spans="1:8" ht="66" customHeight="1">
      <c r="A239" s="3" t="s">
        <v>44</v>
      </c>
      <c r="B239" s="3" t="s">
        <v>635</v>
      </c>
      <c r="C239" s="3" t="s">
        <v>537</v>
      </c>
      <c r="D239" s="3" t="s">
        <v>636</v>
      </c>
      <c r="E239" s="3" t="s">
        <v>637</v>
      </c>
      <c r="F239" s="3" t="s">
        <v>588</v>
      </c>
      <c r="G239" s="3" t="s">
        <v>588</v>
      </c>
      <c r="H239" s="3" t="s">
        <v>85</v>
      </c>
    </row>
    <row r="240" spans="1:8" ht="66" customHeight="1">
      <c r="A240" s="4" t="s">
        <v>44</v>
      </c>
      <c r="B240" s="4" t="s">
        <v>85</v>
      </c>
      <c r="C240" s="4" t="s">
        <v>85</v>
      </c>
      <c r="D240" s="4" t="s">
        <v>85</v>
      </c>
      <c r="E240" s="4" t="s">
        <v>638</v>
      </c>
      <c r="F240" s="4" t="s">
        <v>590</v>
      </c>
      <c r="G240" s="4" t="s">
        <v>590</v>
      </c>
      <c r="H240" s="4" t="s">
        <v>85</v>
      </c>
    </row>
    <row r="241" spans="1:8" ht="66" customHeight="1">
      <c r="A241" s="3" t="s">
        <v>44</v>
      </c>
      <c r="B241" s="3" t="s">
        <v>85</v>
      </c>
      <c r="C241" s="3" t="s">
        <v>85</v>
      </c>
      <c r="D241" s="3" t="s">
        <v>85</v>
      </c>
      <c r="E241" s="3" t="s">
        <v>639</v>
      </c>
      <c r="F241" s="3" t="s">
        <v>592</v>
      </c>
      <c r="G241" s="3" t="s">
        <v>592</v>
      </c>
      <c r="H241" s="3" t="s">
        <v>85</v>
      </c>
    </row>
    <row r="242" spans="1:8" ht="66" customHeight="1">
      <c r="A242" s="4" t="s">
        <v>44</v>
      </c>
      <c r="B242" s="4" t="s">
        <v>85</v>
      </c>
      <c r="C242" s="4" t="s">
        <v>85</v>
      </c>
      <c r="D242" s="4" t="s">
        <v>85</v>
      </c>
      <c r="E242" s="4" t="s">
        <v>640</v>
      </c>
      <c r="F242" s="4" t="s">
        <v>594</v>
      </c>
      <c r="G242" s="4" t="s">
        <v>594</v>
      </c>
      <c r="H242" s="4" t="s">
        <v>85</v>
      </c>
    </row>
    <row r="243" spans="1:8" ht="66" customHeight="1">
      <c r="A243" s="3" t="s">
        <v>44</v>
      </c>
      <c r="B243" s="3" t="s">
        <v>85</v>
      </c>
      <c r="C243" s="3" t="s">
        <v>85</v>
      </c>
      <c r="D243" s="3" t="s">
        <v>85</v>
      </c>
      <c r="E243" s="3" t="s">
        <v>641</v>
      </c>
      <c r="F243" s="3" t="s">
        <v>596</v>
      </c>
      <c r="G243" s="3" t="s">
        <v>596</v>
      </c>
      <c r="H243" s="3" t="s">
        <v>85</v>
      </c>
    </row>
    <row r="244" spans="1:8" ht="66" customHeight="1">
      <c r="A244" s="4" t="s">
        <v>44</v>
      </c>
      <c r="B244" s="4" t="s">
        <v>642</v>
      </c>
      <c r="C244" s="4" t="s">
        <v>537</v>
      </c>
      <c r="D244" s="4" t="s">
        <v>643</v>
      </c>
      <c r="E244" s="4" t="s">
        <v>609</v>
      </c>
      <c r="F244" s="4" t="s">
        <v>600</v>
      </c>
      <c r="G244" s="4" t="s">
        <v>600</v>
      </c>
      <c r="H244" s="4" t="s">
        <v>85</v>
      </c>
    </row>
    <row r="245" spans="1:8" ht="66" customHeight="1">
      <c r="A245" s="3" t="s">
        <v>44</v>
      </c>
      <c r="B245" s="3" t="s">
        <v>85</v>
      </c>
      <c r="C245" s="3" t="s">
        <v>85</v>
      </c>
      <c r="D245" s="3" t="s">
        <v>85</v>
      </c>
      <c r="E245" s="3" t="s">
        <v>644</v>
      </c>
      <c r="F245" s="3" t="s">
        <v>645</v>
      </c>
      <c r="G245" s="3" t="s">
        <v>645</v>
      </c>
      <c r="H245" s="3" t="s">
        <v>85</v>
      </c>
    </row>
    <row r="246" spans="1:8" ht="66" customHeight="1">
      <c r="A246" s="4" t="s">
        <v>44</v>
      </c>
      <c r="B246" s="4" t="s">
        <v>85</v>
      </c>
      <c r="C246" s="4" t="s">
        <v>85</v>
      </c>
      <c r="D246" s="4" t="s">
        <v>85</v>
      </c>
      <c r="E246" s="4" t="s">
        <v>646</v>
      </c>
      <c r="F246" s="4" t="s">
        <v>470</v>
      </c>
      <c r="G246" s="4" t="s">
        <v>470</v>
      </c>
      <c r="H246" s="4" t="s">
        <v>85</v>
      </c>
    </row>
    <row r="247" spans="1:8" ht="66" customHeight="1">
      <c r="A247" s="3" t="s">
        <v>44</v>
      </c>
      <c r="B247" s="3" t="s">
        <v>85</v>
      </c>
      <c r="C247" s="3" t="s">
        <v>85</v>
      </c>
      <c r="D247" s="3" t="s">
        <v>85</v>
      </c>
      <c r="E247" s="3" t="s">
        <v>647</v>
      </c>
      <c r="F247" s="3" t="s">
        <v>604</v>
      </c>
      <c r="G247" s="3" t="s">
        <v>604</v>
      </c>
      <c r="H247" s="3" t="s">
        <v>85</v>
      </c>
    </row>
    <row r="248" spans="1:8" ht="66" customHeight="1">
      <c r="A248" s="4" t="s">
        <v>44</v>
      </c>
      <c r="B248" s="4" t="s">
        <v>85</v>
      </c>
      <c r="C248" s="4" t="s">
        <v>85</v>
      </c>
      <c r="D248" s="4" t="s">
        <v>85</v>
      </c>
      <c r="E248" s="4" t="s">
        <v>648</v>
      </c>
      <c r="F248" s="4" t="s">
        <v>606</v>
      </c>
      <c r="G248" s="4" t="s">
        <v>606</v>
      </c>
      <c r="H248" s="4" t="s">
        <v>85</v>
      </c>
    </row>
    <row r="249" spans="1:8" ht="66" customHeight="1">
      <c r="A249" s="3" t="s">
        <v>44</v>
      </c>
      <c r="B249" s="3" t="s">
        <v>649</v>
      </c>
      <c r="C249" s="3" t="s">
        <v>537</v>
      </c>
      <c r="D249" s="3" t="s">
        <v>650</v>
      </c>
      <c r="E249" s="3" t="s">
        <v>651</v>
      </c>
      <c r="F249" s="3" t="s">
        <v>652</v>
      </c>
      <c r="G249" s="3" t="s">
        <v>652</v>
      </c>
      <c r="H249" s="3" t="s">
        <v>85</v>
      </c>
    </row>
    <row r="250" spans="1:8" ht="66" customHeight="1">
      <c r="A250" s="4" t="s">
        <v>44</v>
      </c>
      <c r="B250" s="4" t="s">
        <v>85</v>
      </c>
      <c r="C250" s="4" t="s">
        <v>85</v>
      </c>
      <c r="D250" s="4" t="s">
        <v>85</v>
      </c>
      <c r="E250" s="4" t="s">
        <v>653</v>
      </c>
      <c r="F250" s="4" t="s">
        <v>590</v>
      </c>
      <c r="G250" s="4" t="s">
        <v>590</v>
      </c>
      <c r="H250" s="4" t="s">
        <v>85</v>
      </c>
    </row>
    <row r="251" spans="1:8" ht="66" customHeight="1">
      <c r="A251" s="3" t="s">
        <v>44</v>
      </c>
      <c r="B251" s="3" t="s">
        <v>85</v>
      </c>
      <c r="C251" s="3" t="s">
        <v>85</v>
      </c>
      <c r="D251" s="3" t="s">
        <v>85</v>
      </c>
      <c r="E251" s="3" t="s">
        <v>654</v>
      </c>
      <c r="F251" s="3" t="s">
        <v>592</v>
      </c>
      <c r="G251" s="3" t="s">
        <v>592</v>
      </c>
      <c r="H251" s="3" t="s">
        <v>85</v>
      </c>
    </row>
    <row r="252" spans="1:8" ht="66" customHeight="1">
      <c r="A252" s="4" t="s">
        <v>44</v>
      </c>
      <c r="B252" s="4" t="s">
        <v>85</v>
      </c>
      <c r="C252" s="4" t="s">
        <v>85</v>
      </c>
      <c r="D252" s="4" t="s">
        <v>85</v>
      </c>
      <c r="E252" s="4" t="s">
        <v>655</v>
      </c>
      <c r="F252" s="4" t="s">
        <v>656</v>
      </c>
      <c r="G252" s="4" t="s">
        <v>656</v>
      </c>
      <c r="H252" s="4" t="s">
        <v>85</v>
      </c>
    </row>
    <row r="253" spans="1:8" ht="66" customHeight="1">
      <c r="A253" s="3" t="s">
        <v>44</v>
      </c>
      <c r="B253" s="3" t="s">
        <v>657</v>
      </c>
      <c r="C253" s="3" t="s">
        <v>537</v>
      </c>
      <c r="D253" s="3" t="s">
        <v>658</v>
      </c>
      <c r="E253" s="3" t="s">
        <v>659</v>
      </c>
      <c r="F253" s="3" t="s">
        <v>660</v>
      </c>
      <c r="G253" s="3" t="s">
        <v>660</v>
      </c>
      <c r="H253" s="3" t="s">
        <v>661</v>
      </c>
    </row>
    <row r="254" spans="1:8" ht="66" customHeight="1">
      <c r="A254" s="4" t="s">
        <v>44</v>
      </c>
      <c r="B254" s="4" t="s">
        <v>85</v>
      </c>
      <c r="C254" s="4" t="s">
        <v>85</v>
      </c>
      <c r="D254" s="4" t="s">
        <v>85</v>
      </c>
      <c r="E254" s="4" t="s">
        <v>662</v>
      </c>
      <c r="F254" s="4" t="s">
        <v>663</v>
      </c>
      <c r="G254" s="4" t="s">
        <v>663</v>
      </c>
      <c r="H254" s="4" t="s">
        <v>85</v>
      </c>
    </row>
    <row r="255" spans="1:8" ht="66" customHeight="1">
      <c r="A255" s="3" t="s">
        <v>44</v>
      </c>
      <c r="B255" s="3" t="s">
        <v>85</v>
      </c>
      <c r="C255" s="3" t="s">
        <v>85</v>
      </c>
      <c r="D255" s="3" t="s">
        <v>85</v>
      </c>
      <c r="E255" s="3" t="s">
        <v>664</v>
      </c>
      <c r="F255" s="3" t="s">
        <v>665</v>
      </c>
      <c r="G255" s="3" t="s">
        <v>665</v>
      </c>
      <c r="H255" s="3" t="s">
        <v>85</v>
      </c>
    </row>
    <row r="256" spans="1:8" ht="66" customHeight="1">
      <c r="A256" s="4" t="s">
        <v>44</v>
      </c>
      <c r="B256" s="4" t="s">
        <v>85</v>
      </c>
      <c r="C256" s="4" t="s">
        <v>85</v>
      </c>
      <c r="D256" s="4" t="s">
        <v>85</v>
      </c>
      <c r="E256" s="4" t="s">
        <v>666</v>
      </c>
      <c r="F256" s="4" t="s">
        <v>667</v>
      </c>
      <c r="G256" s="4" t="s">
        <v>667</v>
      </c>
      <c r="H256" s="4" t="s">
        <v>85</v>
      </c>
    </row>
    <row r="257" spans="1:8" ht="66" customHeight="1">
      <c r="A257" s="3" t="s">
        <v>44</v>
      </c>
      <c r="B257" s="3" t="s">
        <v>668</v>
      </c>
      <c r="C257" s="3" t="s">
        <v>537</v>
      </c>
      <c r="D257" s="3" t="s">
        <v>669</v>
      </c>
      <c r="E257" s="3" t="s">
        <v>670</v>
      </c>
      <c r="F257" s="3" t="s">
        <v>671</v>
      </c>
      <c r="G257" s="3" t="s">
        <v>671</v>
      </c>
      <c r="H257" s="3" t="s">
        <v>672</v>
      </c>
    </row>
    <row r="258" spans="1:8" ht="66" customHeight="1">
      <c r="A258" s="4" t="s">
        <v>44</v>
      </c>
      <c r="B258" s="4" t="s">
        <v>85</v>
      </c>
      <c r="C258" s="4" t="s">
        <v>85</v>
      </c>
      <c r="D258" s="4" t="s">
        <v>85</v>
      </c>
      <c r="E258" s="4" t="s">
        <v>673</v>
      </c>
      <c r="F258" s="4" t="s">
        <v>674</v>
      </c>
      <c r="G258" s="4" t="s">
        <v>674</v>
      </c>
      <c r="H258" s="4" t="s">
        <v>85</v>
      </c>
    </row>
    <row r="259" spans="1:8" ht="66" customHeight="1">
      <c r="A259" s="3" t="s">
        <v>44</v>
      </c>
      <c r="B259" s="3" t="s">
        <v>85</v>
      </c>
      <c r="C259" s="3" t="s">
        <v>85</v>
      </c>
      <c r="D259" s="3" t="s">
        <v>85</v>
      </c>
      <c r="E259" s="3" t="s">
        <v>675</v>
      </c>
      <c r="F259" s="3" t="s">
        <v>676</v>
      </c>
      <c r="G259" s="3" t="s">
        <v>676</v>
      </c>
      <c r="H259" s="3" t="s">
        <v>85</v>
      </c>
    </row>
    <row r="260" spans="1:8" ht="156" customHeight="1">
      <c r="A260" s="4" t="s">
        <v>44</v>
      </c>
      <c r="B260" s="4" t="s">
        <v>677</v>
      </c>
      <c r="C260" s="4" t="s">
        <v>537</v>
      </c>
      <c r="D260" s="4" t="s">
        <v>678</v>
      </c>
      <c r="E260" s="4" t="s">
        <v>679</v>
      </c>
      <c r="F260" s="4" t="s">
        <v>680</v>
      </c>
      <c r="G260" s="4" t="s">
        <v>680</v>
      </c>
      <c r="H260" s="4" t="s">
        <v>681</v>
      </c>
    </row>
    <row r="261" spans="1:8" ht="66" customHeight="1">
      <c r="A261" s="3" t="s">
        <v>44</v>
      </c>
      <c r="B261" s="3" t="s">
        <v>85</v>
      </c>
      <c r="C261" s="3" t="s">
        <v>85</v>
      </c>
      <c r="D261" s="3" t="s">
        <v>85</v>
      </c>
      <c r="E261" s="3" t="s">
        <v>682</v>
      </c>
      <c r="F261" s="3" t="s">
        <v>503</v>
      </c>
      <c r="G261" s="3" t="s">
        <v>503</v>
      </c>
      <c r="H261" s="3" t="s">
        <v>85</v>
      </c>
    </row>
    <row r="262" spans="1:8" ht="66" customHeight="1">
      <c r="A262" s="4" t="s">
        <v>44</v>
      </c>
      <c r="B262" s="4" t="s">
        <v>85</v>
      </c>
      <c r="C262" s="4" t="s">
        <v>85</v>
      </c>
      <c r="D262" s="4" t="s">
        <v>85</v>
      </c>
      <c r="E262" s="4" t="s">
        <v>683</v>
      </c>
      <c r="F262" s="4" t="s">
        <v>488</v>
      </c>
      <c r="G262" s="4" t="s">
        <v>488</v>
      </c>
      <c r="H262" s="4" t="s">
        <v>85</v>
      </c>
    </row>
    <row r="263" spans="1:8" ht="66" customHeight="1">
      <c r="A263" s="3" t="s">
        <v>44</v>
      </c>
      <c r="B263" s="3" t="s">
        <v>85</v>
      </c>
      <c r="C263" s="3" t="s">
        <v>85</v>
      </c>
      <c r="D263" s="3" t="s">
        <v>85</v>
      </c>
      <c r="E263" s="3" t="s">
        <v>684</v>
      </c>
      <c r="F263" s="3" t="s">
        <v>476</v>
      </c>
      <c r="G263" s="3" t="s">
        <v>476</v>
      </c>
      <c r="H263" s="3" t="s">
        <v>85</v>
      </c>
    </row>
    <row r="264" spans="1:8" ht="66" customHeight="1">
      <c r="A264" s="4" t="s">
        <v>44</v>
      </c>
      <c r="B264" s="4" t="s">
        <v>685</v>
      </c>
      <c r="C264" s="4" t="s">
        <v>537</v>
      </c>
      <c r="D264" s="4" t="s">
        <v>686</v>
      </c>
      <c r="E264" s="4" t="s">
        <v>687</v>
      </c>
      <c r="F264" s="4" t="s">
        <v>688</v>
      </c>
      <c r="G264" s="4" t="s">
        <v>688</v>
      </c>
      <c r="H264" s="4" t="s">
        <v>689</v>
      </c>
    </row>
    <row r="265" spans="1:8" ht="66" customHeight="1">
      <c r="A265" s="3" t="s">
        <v>44</v>
      </c>
      <c r="B265" s="3" t="s">
        <v>85</v>
      </c>
      <c r="C265" s="3" t="s">
        <v>85</v>
      </c>
      <c r="D265" s="3" t="s">
        <v>85</v>
      </c>
      <c r="E265" s="3" t="s">
        <v>690</v>
      </c>
      <c r="F265" s="3" t="s">
        <v>691</v>
      </c>
      <c r="G265" s="3" t="s">
        <v>691</v>
      </c>
      <c r="H265" s="3" t="s">
        <v>85</v>
      </c>
    </row>
    <row r="266" spans="1:8" ht="66" customHeight="1">
      <c r="A266" s="4" t="s">
        <v>44</v>
      </c>
      <c r="B266" s="4" t="s">
        <v>85</v>
      </c>
      <c r="C266" s="4" t="s">
        <v>85</v>
      </c>
      <c r="D266" s="4" t="s">
        <v>85</v>
      </c>
      <c r="E266" s="4" t="s">
        <v>639</v>
      </c>
      <c r="F266" s="4" t="s">
        <v>692</v>
      </c>
      <c r="G266" s="4" t="s">
        <v>692</v>
      </c>
      <c r="H266" s="4" t="s">
        <v>85</v>
      </c>
    </row>
    <row r="267" spans="1:8" ht="66" customHeight="1">
      <c r="A267" s="3" t="s">
        <v>44</v>
      </c>
      <c r="B267" s="3" t="s">
        <v>85</v>
      </c>
      <c r="C267" s="3" t="s">
        <v>85</v>
      </c>
      <c r="D267" s="3" t="s">
        <v>85</v>
      </c>
      <c r="E267" s="3" t="s">
        <v>693</v>
      </c>
      <c r="F267" s="3" t="s">
        <v>694</v>
      </c>
      <c r="G267" s="3" t="s">
        <v>694</v>
      </c>
      <c r="H267" s="3" t="s">
        <v>85</v>
      </c>
    </row>
    <row r="268" spans="1:8" ht="66" customHeight="1">
      <c r="A268" s="4" t="s">
        <v>44</v>
      </c>
      <c r="B268" s="4" t="s">
        <v>85</v>
      </c>
      <c r="C268" s="4" t="s">
        <v>85</v>
      </c>
      <c r="D268" s="4" t="s">
        <v>85</v>
      </c>
      <c r="E268" s="4" t="s">
        <v>695</v>
      </c>
      <c r="F268" s="4" t="s">
        <v>696</v>
      </c>
      <c r="G268" s="4" t="s">
        <v>696</v>
      </c>
      <c r="H268" s="4" t="s">
        <v>85</v>
      </c>
    </row>
    <row r="269" spans="1:8" ht="66" customHeight="1">
      <c r="A269" s="3" t="s">
        <v>44</v>
      </c>
      <c r="B269" s="3" t="s">
        <v>697</v>
      </c>
      <c r="C269" s="3" t="s">
        <v>537</v>
      </c>
      <c r="D269" s="3" t="s">
        <v>698</v>
      </c>
      <c r="E269" s="3" t="s">
        <v>699</v>
      </c>
      <c r="F269" s="3" t="s">
        <v>700</v>
      </c>
      <c r="G269" s="3" t="s">
        <v>700</v>
      </c>
      <c r="H269" s="3" t="s">
        <v>701</v>
      </c>
    </row>
    <row r="270" spans="1:8" ht="66" customHeight="1">
      <c r="A270" s="4" t="s">
        <v>44</v>
      </c>
      <c r="B270" s="4" t="s">
        <v>85</v>
      </c>
      <c r="C270" s="4" t="s">
        <v>85</v>
      </c>
      <c r="D270" s="4" t="s">
        <v>85</v>
      </c>
      <c r="E270" s="4" t="s">
        <v>702</v>
      </c>
      <c r="F270" s="4" t="s">
        <v>501</v>
      </c>
      <c r="G270" s="4" t="s">
        <v>501</v>
      </c>
      <c r="H270" s="4" t="s">
        <v>85</v>
      </c>
    </row>
    <row r="271" spans="1:8" ht="66" customHeight="1">
      <c r="A271" s="3" t="s">
        <v>44</v>
      </c>
      <c r="B271" s="3" t="s">
        <v>85</v>
      </c>
      <c r="C271" s="3" t="s">
        <v>85</v>
      </c>
      <c r="D271" s="3" t="s">
        <v>85</v>
      </c>
      <c r="E271" s="3" t="s">
        <v>452</v>
      </c>
      <c r="F271" s="3" t="s">
        <v>503</v>
      </c>
      <c r="G271" s="3" t="s">
        <v>503</v>
      </c>
      <c r="H271" s="3" t="s">
        <v>85</v>
      </c>
    </row>
    <row r="272" spans="1:8" ht="66" customHeight="1">
      <c r="A272" s="4" t="s">
        <v>44</v>
      </c>
      <c r="B272" s="4" t="s">
        <v>85</v>
      </c>
      <c r="C272" s="4" t="s">
        <v>85</v>
      </c>
      <c r="D272" s="4" t="s">
        <v>85</v>
      </c>
      <c r="E272" s="4" t="s">
        <v>703</v>
      </c>
      <c r="F272" s="4" t="s">
        <v>704</v>
      </c>
      <c r="G272" s="4" t="s">
        <v>704</v>
      </c>
      <c r="H272" s="4" t="s">
        <v>85</v>
      </c>
    </row>
    <row r="273" spans="1:8" ht="66" customHeight="1">
      <c r="A273" s="3" t="s">
        <v>44</v>
      </c>
      <c r="B273" s="3" t="s">
        <v>85</v>
      </c>
      <c r="C273" s="3" t="s">
        <v>85</v>
      </c>
      <c r="D273" s="3" t="s">
        <v>85</v>
      </c>
      <c r="E273" s="3" t="s">
        <v>705</v>
      </c>
      <c r="F273" s="3" t="s">
        <v>706</v>
      </c>
      <c r="G273" s="3" t="s">
        <v>706</v>
      </c>
      <c r="H273" s="3" t="s">
        <v>85</v>
      </c>
    </row>
    <row r="274" spans="1:8" ht="120" customHeight="1">
      <c r="A274" s="4" t="s">
        <v>44</v>
      </c>
      <c r="B274" s="4" t="s">
        <v>707</v>
      </c>
      <c r="C274" s="4" t="s">
        <v>537</v>
      </c>
      <c r="D274" s="4" t="s">
        <v>708</v>
      </c>
      <c r="E274" s="4" t="s">
        <v>709</v>
      </c>
      <c r="F274" s="4" t="s">
        <v>466</v>
      </c>
      <c r="G274" s="4" t="s">
        <v>466</v>
      </c>
      <c r="H274" s="4" t="s">
        <v>710</v>
      </c>
    </row>
    <row r="275" spans="1:8" ht="66" customHeight="1">
      <c r="A275" s="3" t="s">
        <v>44</v>
      </c>
      <c r="B275" s="3" t="s">
        <v>85</v>
      </c>
      <c r="C275" s="3" t="s">
        <v>85</v>
      </c>
      <c r="D275" s="3" t="s">
        <v>85</v>
      </c>
      <c r="E275" s="3" t="s">
        <v>711</v>
      </c>
      <c r="F275" s="3" t="s">
        <v>468</v>
      </c>
      <c r="G275" s="3" t="s">
        <v>468</v>
      </c>
      <c r="H275" s="3" t="s">
        <v>85</v>
      </c>
    </row>
    <row r="276" spans="1:8" ht="66" customHeight="1">
      <c r="A276" s="4" t="s">
        <v>44</v>
      </c>
      <c r="B276" s="4" t="s">
        <v>85</v>
      </c>
      <c r="C276" s="4" t="s">
        <v>85</v>
      </c>
      <c r="D276" s="4" t="s">
        <v>85</v>
      </c>
      <c r="E276" s="4" t="s">
        <v>712</v>
      </c>
      <c r="F276" s="4" t="s">
        <v>470</v>
      </c>
      <c r="G276" s="4" t="s">
        <v>470</v>
      </c>
      <c r="H276" s="4" t="s">
        <v>85</v>
      </c>
    </row>
    <row r="277" spans="1:8" ht="66" customHeight="1">
      <c r="A277" s="3" t="s">
        <v>44</v>
      </c>
      <c r="B277" s="3" t="s">
        <v>85</v>
      </c>
      <c r="C277" s="3" t="s">
        <v>85</v>
      </c>
      <c r="D277" s="3" t="s">
        <v>85</v>
      </c>
      <c r="E277" s="3" t="s">
        <v>713</v>
      </c>
      <c r="F277" s="3" t="s">
        <v>623</v>
      </c>
      <c r="G277" s="3" t="s">
        <v>623</v>
      </c>
      <c r="H277" s="3" t="s">
        <v>85</v>
      </c>
    </row>
    <row r="278" spans="1:8" ht="66" customHeight="1">
      <c r="A278" s="4" t="s">
        <v>44</v>
      </c>
      <c r="B278" s="4" t="s">
        <v>85</v>
      </c>
      <c r="C278" s="4" t="s">
        <v>85</v>
      </c>
      <c r="D278" s="4" t="s">
        <v>85</v>
      </c>
      <c r="E278" s="4" t="s">
        <v>714</v>
      </c>
      <c r="F278" s="4" t="s">
        <v>376</v>
      </c>
      <c r="G278" s="4" t="s">
        <v>376</v>
      </c>
      <c r="H278" s="4" t="s">
        <v>85</v>
      </c>
    </row>
    <row r="279" spans="1:8" ht="102" customHeight="1">
      <c r="A279" s="3" t="s">
        <v>44</v>
      </c>
      <c r="B279" s="3" t="s">
        <v>715</v>
      </c>
      <c r="C279" s="3" t="s">
        <v>537</v>
      </c>
      <c r="D279" s="3" t="s">
        <v>716</v>
      </c>
      <c r="E279" s="3" t="s">
        <v>717</v>
      </c>
      <c r="F279" s="3" t="s">
        <v>376</v>
      </c>
      <c r="G279" s="3" t="s">
        <v>376</v>
      </c>
      <c r="H279" s="3" t="s">
        <v>718</v>
      </c>
    </row>
    <row r="280" spans="1:8" ht="66" customHeight="1">
      <c r="A280" s="4" t="s">
        <v>44</v>
      </c>
      <c r="B280" s="4" t="s">
        <v>85</v>
      </c>
      <c r="C280" s="4" t="s">
        <v>85</v>
      </c>
      <c r="D280" s="4" t="s">
        <v>85</v>
      </c>
      <c r="E280" s="4" t="s">
        <v>719</v>
      </c>
      <c r="F280" s="4" t="s">
        <v>523</v>
      </c>
      <c r="G280" s="4" t="s">
        <v>523</v>
      </c>
      <c r="H280" s="4" t="s">
        <v>85</v>
      </c>
    </row>
    <row r="281" spans="1:8" ht="66" customHeight="1">
      <c r="A281" s="3" t="s">
        <v>44</v>
      </c>
      <c r="B281" s="3" t="s">
        <v>85</v>
      </c>
      <c r="C281" s="3" t="s">
        <v>85</v>
      </c>
      <c r="D281" s="3" t="s">
        <v>85</v>
      </c>
      <c r="E281" s="3" t="s">
        <v>712</v>
      </c>
      <c r="F281" s="3" t="s">
        <v>470</v>
      </c>
      <c r="G281" s="3" t="s">
        <v>470</v>
      </c>
      <c r="H281" s="3" t="s">
        <v>85</v>
      </c>
    </row>
    <row r="282" spans="1:8" ht="66" customHeight="1">
      <c r="A282" s="4" t="s">
        <v>44</v>
      </c>
      <c r="B282" s="4" t="s">
        <v>85</v>
      </c>
      <c r="C282" s="4" t="s">
        <v>85</v>
      </c>
      <c r="D282" s="4" t="s">
        <v>85</v>
      </c>
      <c r="E282" s="4" t="s">
        <v>720</v>
      </c>
      <c r="F282" s="4" t="s">
        <v>528</v>
      </c>
      <c r="G282" s="4" t="s">
        <v>528</v>
      </c>
      <c r="H282" s="4" t="s">
        <v>85</v>
      </c>
    </row>
    <row r="283" spans="1:8" ht="156" customHeight="1">
      <c r="A283" s="3" t="s">
        <v>44</v>
      </c>
      <c r="B283" s="3" t="s">
        <v>721</v>
      </c>
      <c r="C283" s="3" t="s">
        <v>537</v>
      </c>
      <c r="D283" s="3" t="s">
        <v>722</v>
      </c>
      <c r="E283" s="3" t="s">
        <v>723</v>
      </c>
      <c r="F283" s="3" t="s">
        <v>724</v>
      </c>
      <c r="G283" s="3" t="s">
        <v>724</v>
      </c>
      <c r="H283" s="3" t="s">
        <v>725</v>
      </c>
    </row>
    <row r="284" spans="1:8" ht="66" customHeight="1">
      <c r="A284" s="4" t="s">
        <v>44</v>
      </c>
      <c r="B284" s="4" t="s">
        <v>85</v>
      </c>
      <c r="C284" s="4" t="s">
        <v>85</v>
      </c>
      <c r="D284" s="4" t="s">
        <v>85</v>
      </c>
      <c r="E284" s="4" t="s">
        <v>726</v>
      </c>
      <c r="F284" s="4" t="s">
        <v>727</v>
      </c>
      <c r="G284" s="4" t="s">
        <v>727</v>
      </c>
      <c r="H284" s="4" t="s">
        <v>85</v>
      </c>
    </row>
    <row r="285" spans="1:8" ht="66" customHeight="1">
      <c r="A285" s="3" t="s">
        <v>44</v>
      </c>
      <c r="B285" s="3" t="s">
        <v>85</v>
      </c>
      <c r="C285" s="3" t="s">
        <v>85</v>
      </c>
      <c r="D285" s="3" t="s">
        <v>85</v>
      </c>
      <c r="E285" s="3" t="s">
        <v>728</v>
      </c>
      <c r="F285" s="3" t="s">
        <v>521</v>
      </c>
      <c r="G285" s="3" t="s">
        <v>521</v>
      </c>
      <c r="H285" s="3" t="s">
        <v>85</v>
      </c>
    </row>
    <row r="286" spans="1:8" ht="66" customHeight="1">
      <c r="A286" s="4" t="s">
        <v>44</v>
      </c>
      <c r="B286" s="4" t="s">
        <v>85</v>
      </c>
      <c r="C286" s="4" t="s">
        <v>85</v>
      </c>
      <c r="D286" s="4" t="s">
        <v>85</v>
      </c>
      <c r="E286" s="4" t="s">
        <v>729</v>
      </c>
      <c r="F286" s="4" t="s">
        <v>730</v>
      </c>
      <c r="G286" s="4" t="s">
        <v>730</v>
      </c>
      <c r="H286" s="4" t="s">
        <v>85</v>
      </c>
    </row>
    <row r="287" spans="1:8" ht="120" customHeight="1">
      <c r="A287" s="3" t="s">
        <v>44</v>
      </c>
      <c r="B287" s="3" t="s">
        <v>731</v>
      </c>
      <c r="C287" s="3" t="s">
        <v>537</v>
      </c>
      <c r="D287" s="3" t="s">
        <v>732</v>
      </c>
      <c r="E287" s="3" t="s">
        <v>733</v>
      </c>
      <c r="F287" s="3" t="s">
        <v>466</v>
      </c>
      <c r="G287" s="3" t="s">
        <v>466</v>
      </c>
      <c r="H287" s="3" t="s">
        <v>734</v>
      </c>
    </row>
    <row r="288" spans="1:8" ht="66" customHeight="1">
      <c r="A288" s="4" t="s">
        <v>44</v>
      </c>
      <c r="B288" s="4" t="s">
        <v>85</v>
      </c>
      <c r="C288" s="4" t="s">
        <v>85</v>
      </c>
      <c r="D288" s="4" t="s">
        <v>85</v>
      </c>
      <c r="E288" s="4" t="s">
        <v>735</v>
      </c>
      <c r="F288" s="4" t="s">
        <v>468</v>
      </c>
      <c r="G288" s="4" t="s">
        <v>468</v>
      </c>
      <c r="H288" s="4" t="s">
        <v>85</v>
      </c>
    </row>
    <row r="289" spans="1:8" ht="66" customHeight="1">
      <c r="A289" s="3" t="s">
        <v>44</v>
      </c>
      <c r="B289" s="3" t="s">
        <v>85</v>
      </c>
      <c r="C289" s="3" t="s">
        <v>85</v>
      </c>
      <c r="D289" s="3" t="s">
        <v>85</v>
      </c>
      <c r="E289" s="3" t="s">
        <v>712</v>
      </c>
      <c r="F289" s="3" t="s">
        <v>470</v>
      </c>
      <c r="G289" s="3" t="s">
        <v>470</v>
      </c>
      <c r="H289" s="3" t="s">
        <v>85</v>
      </c>
    </row>
    <row r="290" spans="1:8" ht="66" customHeight="1">
      <c r="A290" s="4" t="s">
        <v>44</v>
      </c>
      <c r="B290" s="4" t="s">
        <v>85</v>
      </c>
      <c r="C290" s="4" t="s">
        <v>85</v>
      </c>
      <c r="D290" s="4" t="s">
        <v>85</v>
      </c>
      <c r="E290" s="4" t="s">
        <v>736</v>
      </c>
      <c r="F290" s="4" t="s">
        <v>623</v>
      </c>
      <c r="G290" s="4" t="s">
        <v>623</v>
      </c>
      <c r="H290" s="4" t="s">
        <v>85</v>
      </c>
    </row>
    <row r="291" spans="1:8" ht="66" customHeight="1">
      <c r="A291" s="3" t="s">
        <v>44</v>
      </c>
      <c r="B291" s="3" t="s">
        <v>85</v>
      </c>
      <c r="C291" s="3" t="s">
        <v>85</v>
      </c>
      <c r="D291" s="3" t="s">
        <v>85</v>
      </c>
      <c r="E291" s="3" t="s">
        <v>737</v>
      </c>
      <c r="F291" s="3" t="s">
        <v>376</v>
      </c>
      <c r="G291" s="3" t="s">
        <v>376</v>
      </c>
      <c r="H291" s="3" t="s">
        <v>85</v>
      </c>
    </row>
    <row r="292" spans="1:8" ht="66" customHeight="1">
      <c r="A292" s="4" t="s">
        <v>44</v>
      </c>
      <c r="B292" s="4" t="s">
        <v>738</v>
      </c>
      <c r="C292" s="4" t="s">
        <v>537</v>
      </c>
      <c r="D292" s="4" t="s">
        <v>739</v>
      </c>
      <c r="E292" s="4" t="s">
        <v>740</v>
      </c>
      <c r="F292" s="4" t="s">
        <v>588</v>
      </c>
      <c r="G292" s="4" t="s">
        <v>588</v>
      </c>
      <c r="H292" s="4" t="s">
        <v>741</v>
      </c>
    </row>
    <row r="293" spans="1:8" ht="66" customHeight="1">
      <c r="A293" s="3" t="s">
        <v>44</v>
      </c>
      <c r="B293" s="3" t="s">
        <v>85</v>
      </c>
      <c r="C293" s="3" t="s">
        <v>85</v>
      </c>
      <c r="D293" s="3" t="s">
        <v>85</v>
      </c>
      <c r="E293" s="3" t="s">
        <v>742</v>
      </c>
      <c r="F293" s="3" t="s">
        <v>590</v>
      </c>
      <c r="G293" s="3" t="s">
        <v>590</v>
      </c>
      <c r="H293" s="3" t="s">
        <v>85</v>
      </c>
    </row>
    <row r="294" spans="1:8" ht="66" customHeight="1">
      <c r="A294" s="4" t="s">
        <v>44</v>
      </c>
      <c r="B294" s="4" t="s">
        <v>85</v>
      </c>
      <c r="C294" s="4" t="s">
        <v>85</v>
      </c>
      <c r="D294" s="4" t="s">
        <v>85</v>
      </c>
      <c r="E294" s="4" t="s">
        <v>743</v>
      </c>
      <c r="F294" s="4" t="s">
        <v>592</v>
      </c>
      <c r="G294" s="4" t="s">
        <v>592</v>
      </c>
      <c r="H294" s="4" t="s">
        <v>85</v>
      </c>
    </row>
    <row r="295" spans="1:8" ht="66" customHeight="1">
      <c r="A295" s="3" t="s">
        <v>44</v>
      </c>
      <c r="B295" s="3" t="s">
        <v>85</v>
      </c>
      <c r="C295" s="3" t="s">
        <v>85</v>
      </c>
      <c r="D295" s="3" t="s">
        <v>85</v>
      </c>
      <c r="E295" s="3" t="s">
        <v>744</v>
      </c>
      <c r="F295" s="3" t="s">
        <v>656</v>
      </c>
      <c r="G295" s="3" t="s">
        <v>656</v>
      </c>
      <c r="H295" s="3" t="s">
        <v>85</v>
      </c>
    </row>
    <row r="296" spans="1:8" ht="66" customHeight="1">
      <c r="A296" s="4" t="s">
        <v>44</v>
      </c>
      <c r="B296" s="4" t="s">
        <v>745</v>
      </c>
      <c r="C296" s="4" t="s">
        <v>537</v>
      </c>
      <c r="D296" s="4" t="s">
        <v>746</v>
      </c>
      <c r="E296" s="4" t="s">
        <v>609</v>
      </c>
      <c r="F296" s="4" t="s">
        <v>747</v>
      </c>
      <c r="G296" s="4" t="s">
        <v>747</v>
      </c>
      <c r="H296" s="4" t="s">
        <v>748</v>
      </c>
    </row>
    <row r="297" spans="1:8" ht="66" customHeight="1">
      <c r="A297" s="3" t="s">
        <v>44</v>
      </c>
      <c r="B297" s="3" t="s">
        <v>85</v>
      </c>
      <c r="C297" s="3" t="s">
        <v>85</v>
      </c>
      <c r="D297" s="3" t="s">
        <v>85</v>
      </c>
      <c r="E297" s="3" t="s">
        <v>644</v>
      </c>
      <c r="F297" s="3" t="s">
        <v>749</v>
      </c>
      <c r="G297" s="3" t="s">
        <v>749</v>
      </c>
      <c r="H297" s="3" t="s">
        <v>85</v>
      </c>
    </row>
    <row r="298" spans="1:8" ht="66" customHeight="1">
      <c r="A298" s="4" t="s">
        <v>44</v>
      </c>
      <c r="B298" s="4" t="s">
        <v>85</v>
      </c>
      <c r="C298" s="4" t="s">
        <v>85</v>
      </c>
      <c r="D298" s="4" t="s">
        <v>85</v>
      </c>
      <c r="E298" s="4" t="s">
        <v>646</v>
      </c>
      <c r="F298" s="4" t="s">
        <v>592</v>
      </c>
      <c r="G298" s="4" t="s">
        <v>592</v>
      </c>
      <c r="H298" s="4" t="s">
        <v>85</v>
      </c>
    </row>
    <row r="299" spans="1:8" ht="66" customHeight="1">
      <c r="A299" s="3" t="s">
        <v>44</v>
      </c>
      <c r="B299" s="3" t="s">
        <v>85</v>
      </c>
      <c r="C299" s="3" t="s">
        <v>85</v>
      </c>
      <c r="D299" s="3" t="s">
        <v>85</v>
      </c>
      <c r="E299" s="3" t="s">
        <v>647</v>
      </c>
      <c r="F299" s="3" t="s">
        <v>750</v>
      </c>
      <c r="G299" s="3" t="s">
        <v>750</v>
      </c>
      <c r="H299" s="3" t="s">
        <v>85</v>
      </c>
    </row>
    <row r="300" spans="1:8" ht="66" customHeight="1">
      <c r="A300" s="4" t="s">
        <v>44</v>
      </c>
      <c r="B300" s="4" t="s">
        <v>85</v>
      </c>
      <c r="C300" s="4" t="s">
        <v>85</v>
      </c>
      <c r="D300" s="4" t="s">
        <v>85</v>
      </c>
      <c r="E300" s="4" t="s">
        <v>648</v>
      </c>
      <c r="F300" s="4" t="s">
        <v>751</v>
      </c>
      <c r="G300" s="4" t="s">
        <v>751</v>
      </c>
      <c r="H300" s="4" t="s">
        <v>85</v>
      </c>
    </row>
    <row r="301" spans="1:8" ht="66" customHeight="1">
      <c r="A301" s="3" t="s">
        <v>44</v>
      </c>
      <c r="B301" s="3" t="s">
        <v>752</v>
      </c>
      <c r="C301" s="3" t="s">
        <v>537</v>
      </c>
      <c r="D301" s="3" t="s">
        <v>753</v>
      </c>
      <c r="E301" s="3" t="s">
        <v>754</v>
      </c>
      <c r="F301" s="3" t="s">
        <v>747</v>
      </c>
      <c r="G301" s="3" t="s">
        <v>747</v>
      </c>
      <c r="H301" s="3" t="s">
        <v>85</v>
      </c>
    </row>
    <row r="302" spans="1:8" ht="66" customHeight="1">
      <c r="A302" s="4" t="s">
        <v>44</v>
      </c>
      <c r="B302" s="4" t="s">
        <v>85</v>
      </c>
      <c r="C302" s="4" t="s">
        <v>85</v>
      </c>
      <c r="D302" s="4" t="s">
        <v>85</v>
      </c>
      <c r="E302" s="4" t="s">
        <v>755</v>
      </c>
      <c r="F302" s="4" t="s">
        <v>749</v>
      </c>
      <c r="G302" s="4" t="s">
        <v>749</v>
      </c>
      <c r="H302" s="4" t="s">
        <v>85</v>
      </c>
    </row>
    <row r="303" spans="1:8" ht="66" customHeight="1">
      <c r="A303" s="3" t="s">
        <v>44</v>
      </c>
      <c r="B303" s="3" t="s">
        <v>85</v>
      </c>
      <c r="C303" s="3" t="s">
        <v>85</v>
      </c>
      <c r="D303" s="3" t="s">
        <v>85</v>
      </c>
      <c r="E303" s="3" t="s">
        <v>646</v>
      </c>
      <c r="F303" s="3" t="s">
        <v>592</v>
      </c>
      <c r="G303" s="3" t="s">
        <v>592</v>
      </c>
      <c r="H303" s="3" t="s">
        <v>85</v>
      </c>
    </row>
    <row r="304" spans="1:8" ht="66" customHeight="1">
      <c r="A304" s="4" t="s">
        <v>44</v>
      </c>
      <c r="B304" s="4" t="s">
        <v>85</v>
      </c>
      <c r="C304" s="4" t="s">
        <v>85</v>
      </c>
      <c r="D304" s="4" t="s">
        <v>85</v>
      </c>
      <c r="E304" s="4" t="s">
        <v>756</v>
      </c>
      <c r="F304" s="4" t="s">
        <v>750</v>
      </c>
      <c r="G304" s="4" t="s">
        <v>750</v>
      </c>
      <c r="H304" s="4" t="s">
        <v>85</v>
      </c>
    </row>
    <row r="305" spans="1:8" ht="66" customHeight="1">
      <c r="A305" s="3" t="s">
        <v>44</v>
      </c>
      <c r="B305" s="3" t="s">
        <v>85</v>
      </c>
      <c r="C305" s="3" t="s">
        <v>85</v>
      </c>
      <c r="D305" s="3" t="s">
        <v>85</v>
      </c>
      <c r="E305" s="3" t="s">
        <v>757</v>
      </c>
      <c r="F305" s="3" t="s">
        <v>751</v>
      </c>
      <c r="G305" s="3" t="s">
        <v>751</v>
      </c>
      <c r="H305" s="3" t="s">
        <v>85</v>
      </c>
    </row>
    <row r="306" spans="1:8" ht="66" customHeight="1">
      <c r="A306" s="4" t="s">
        <v>44</v>
      </c>
      <c r="B306" s="4" t="s">
        <v>758</v>
      </c>
      <c r="C306" s="4" t="s">
        <v>537</v>
      </c>
      <c r="D306" s="4" t="s">
        <v>759</v>
      </c>
      <c r="E306" s="4" t="s">
        <v>760</v>
      </c>
      <c r="F306" s="4" t="s">
        <v>761</v>
      </c>
      <c r="G306" s="4" t="s">
        <v>761</v>
      </c>
      <c r="H306" s="4" t="s">
        <v>85</v>
      </c>
    </row>
    <row r="307" spans="1:8" ht="66" customHeight="1">
      <c r="A307" s="3" t="s">
        <v>44</v>
      </c>
      <c r="B307" s="3" t="s">
        <v>85</v>
      </c>
      <c r="C307" s="3" t="s">
        <v>85</v>
      </c>
      <c r="D307" s="3" t="s">
        <v>85</v>
      </c>
      <c r="E307" s="3" t="s">
        <v>762</v>
      </c>
      <c r="F307" s="3" t="s">
        <v>592</v>
      </c>
      <c r="G307" s="3" t="s">
        <v>592</v>
      </c>
      <c r="H307" s="3" t="s">
        <v>85</v>
      </c>
    </row>
    <row r="308" spans="1:8" ht="66" customHeight="1">
      <c r="A308" s="4" t="s">
        <v>44</v>
      </c>
      <c r="B308" s="4" t="s">
        <v>85</v>
      </c>
      <c r="C308" s="4" t="s">
        <v>85</v>
      </c>
      <c r="D308" s="4" t="s">
        <v>85</v>
      </c>
      <c r="E308" s="4" t="s">
        <v>763</v>
      </c>
      <c r="F308" s="4" t="s">
        <v>764</v>
      </c>
      <c r="G308" s="4" t="s">
        <v>764</v>
      </c>
      <c r="H308" s="4" t="s">
        <v>85</v>
      </c>
    </row>
    <row r="309" spans="1:8" ht="66" customHeight="1">
      <c r="A309" s="3" t="s">
        <v>44</v>
      </c>
      <c r="B309" s="3" t="s">
        <v>765</v>
      </c>
      <c r="C309" s="3" t="s">
        <v>537</v>
      </c>
      <c r="D309" s="3" t="s">
        <v>766</v>
      </c>
      <c r="E309" s="3" t="s">
        <v>767</v>
      </c>
      <c r="F309" s="3" t="s">
        <v>747</v>
      </c>
      <c r="G309" s="3" t="s">
        <v>747</v>
      </c>
      <c r="H309" s="3" t="s">
        <v>85</v>
      </c>
    </row>
    <row r="310" spans="1:8" ht="66" customHeight="1">
      <c r="A310" s="4" t="s">
        <v>44</v>
      </c>
      <c r="B310" s="4" t="s">
        <v>85</v>
      </c>
      <c r="C310" s="4" t="s">
        <v>85</v>
      </c>
      <c r="D310" s="4" t="s">
        <v>85</v>
      </c>
      <c r="E310" s="4" t="s">
        <v>768</v>
      </c>
      <c r="F310" s="4" t="s">
        <v>749</v>
      </c>
      <c r="G310" s="4" t="s">
        <v>749</v>
      </c>
      <c r="H310" s="4" t="s">
        <v>85</v>
      </c>
    </row>
    <row r="311" spans="1:8" ht="66" customHeight="1">
      <c r="A311" s="3" t="s">
        <v>44</v>
      </c>
      <c r="B311" s="3" t="s">
        <v>85</v>
      </c>
      <c r="C311" s="3" t="s">
        <v>85</v>
      </c>
      <c r="D311" s="3" t="s">
        <v>85</v>
      </c>
      <c r="E311" s="3" t="s">
        <v>646</v>
      </c>
      <c r="F311" s="3" t="s">
        <v>592</v>
      </c>
      <c r="G311" s="3" t="s">
        <v>592</v>
      </c>
      <c r="H311" s="3" t="s">
        <v>85</v>
      </c>
    </row>
    <row r="312" spans="1:8" ht="66" customHeight="1">
      <c r="A312" s="4" t="s">
        <v>44</v>
      </c>
      <c r="B312" s="4" t="s">
        <v>85</v>
      </c>
      <c r="C312" s="4" t="s">
        <v>85</v>
      </c>
      <c r="D312" s="4" t="s">
        <v>85</v>
      </c>
      <c r="E312" s="4" t="s">
        <v>769</v>
      </c>
      <c r="F312" s="4" t="s">
        <v>750</v>
      </c>
      <c r="G312" s="4" t="s">
        <v>750</v>
      </c>
      <c r="H312" s="4" t="s">
        <v>85</v>
      </c>
    </row>
    <row r="313" spans="1:8" ht="66" customHeight="1">
      <c r="A313" s="3" t="s">
        <v>44</v>
      </c>
      <c r="B313" s="3" t="s">
        <v>85</v>
      </c>
      <c r="C313" s="3" t="s">
        <v>85</v>
      </c>
      <c r="D313" s="3" t="s">
        <v>85</v>
      </c>
      <c r="E313" s="3" t="s">
        <v>770</v>
      </c>
      <c r="F313" s="3" t="s">
        <v>751</v>
      </c>
      <c r="G313" s="3" t="s">
        <v>751</v>
      </c>
      <c r="H313" s="3" t="s">
        <v>85</v>
      </c>
    </row>
    <row r="314" spans="1:8" ht="66" customHeight="1">
      <c r="A314" s="4" t="s">
        <v>44</v>
      </c>
      <c r="B314" s="4" t="s">
        <v>771</v>
      </c>
      <c r="C314" s="4" t="s">
        <v>537</v>
      </c>
      <c r="D314" s="4" t="s">
        <v>772</v>
      </c>
      <c r="E314" s="4" t="s">
        <v>773</v>
      </c>
      <c r="F314" s="4" t="s">
        <v>774</v>
      </c>
      <c r="G314" s="4" t="s">
        <v>774</v>
      </c>
      <c r="H314" s="4" t="s">
        <v>775</v>
      </c>
    </row>
    <row r="315" spans="1:8" ht="66" customHeight="1">
      <c r="A315" s="3" t="s">
        <v>44</v>
      </c>
      <c r="B315" s="3" t="s">
        <v>85</v>
      </c>
      <c r="C315" s="3" t="s">
        <v>85</v>
      </c>
      <c r="D315" s="3" t="s">
        <v>85</v>
      </c>
      <c r="E315" s="3" t="s">
        <v>776</v>
      </c>
      <c r="F315" s="3" t="s">
        <v>777</v>
      </c>
      <c r="G315" s="3" t="s">
        <v>777</v>
      </c>
      <c r="H315" s="3" t="s">
        <v>85</v>
      </c>
    </row>
    <row r="316" spans="1:8" ht="66" customHeight="1">
      <c r="A316" s="4" t="s">
        <v>44</v>
      </c>
      <c r="B316" s="4" t="s">
        <v>85</v>
      </c>
      <c r="C316" s="4" t="s">
        <v>85</v>
      </c>
      <c r="D316" s="4" t="s">
        <v>85</v>
      </c>
      <c r="E316" s="4" t="s">
        <v>778</v>
      </c>
      <c r="F316" s="4" t="s">
        <v>779</v>
      </c>
      <c r="G316" s="4" t="s">
        <v>779</v>
      </c>
      <c r="H316" s="4" t="s">
        <v>85</v>
      </c>
    </row>
    <row r="317" spans="1:8" ht="66" customHeight="1">
      <c r="A317" s="3" t="s">
        <v>44</v>
      </c>
      <c r="B317" s="3" t="s">
        <v>85</v>
      </c>
      <c r="C317" s="3" t="s">
        <v>85</v>
      </c>
      <c r="D317" s="3" t="s">
        <v>85</v>
      </c>
      <c r="E317" s="3" t="s">
        <v>780</v>
      </c>
      <c r="F317" s="3" t="s">
        <v>781</v>
      </c>
      <c r="G317" s="3" t="s">
        <v>781</v>
      </c>
      <c r="H317" s="3" t="s">
        <v>85</v>
      </c>
    </row>
    <row r="318" spans="1:8" ht="66" customHeight="1">
      <c r="A318" s="4" t="s">
        <v>44</v>
      </c>
      <c r="B318" s="4" t="s">
        <v>85</v>
      </c>
      <c r="C318" s="4" t="s">
        <v>85</v>
      </c>
      <c r="D318" s="4" t="s">
        <v>85</v>
      </c>
      <c r="E318" s="4" t="s">
        <v>782</v>
      </c>
      <c r="F318" s="4" t="s">
        <v>783</v>
      </c>
      <c r="G318" s="4" t="s">
        <v>783</v>
      </c>
      <c r="H318" s="4" t="s">
        <v>85</v>
      </c>
    </row>
    <row r="319" spans="1:8" ht="66" customHeight="1">
      <c r="A319" s="3" t="s">
        <v>44</v>
      </c>
      <c r="B319" s="3" t="s">
        <v>85</v>
      </c>
      <c r="C319" s="3" t="s">
        <v>85</v>
      </c>
      <c r="D319" s="3" t="s">
        <v>85</v>
      </c>
      <c r="E319" s="3" t="s">
        <v>784</v>
      </c>
      <c r="F319" s="3" t="s">
        <v>785</v>
      </c>
      <c r="G319" s="3" t="s">
        <v>785</v>
      </c>
      <c r="H319" s="3" t="s">
        <v>85</v>
      </c>
    </row>
    <row r="320" spans="1:8" ht="66" customHeight="1">
      <c r="A320" s="4" t="s">
        <v>44</v>
      </c>
      <c r="B320" s="4" t="s">
        <v>786</v>
      </c>
      <c r="C320" s="4" t="s">
        <v>537</v>
      </c>
      <c r="D320" s="4" t="s">
        <v>787</v>
      </c>
      <c r="E320" s="4" t="s">
        <v>788</v>
      </c>
      <c r="F320" s="4" t="s">
        <v>789</v>
      </c>
      <c r="G320" s="4" t="s">
        <v>789</v>
      </c>
      <c r="H320" s="4" t="s">
        <v>790</v>
      </c>
    </row>
    <row r="321" spans="1:8" ht="66" customHeight="1">
      <c r="A321" s="3" t="s">
        <v>44</v>
      </c>
      <c r="B321" s="3" t="s">
        <v>85</v>
      </c>
      <c r="C321" s="3" t="s">
        <v>85</v>
      </c>
      <c r="D321" s="3" t="s">
        <v>85</v>
      </c>
      <c r="E321" s="3" t="s">
        <v>791</v>
      </c>
      <c r="F321" s="3" t="s">
        <v>792</v>
      </c>
      <c r="G321" s="3" t="s">
        <v>792</v>
      </c>
      <c r="H321" s="3" t="s">
        <v>85</v>
      </c>
    </row>
    <row r="322" spans="1:8" ht="66" customHeight="1">
      <c r="A322" s="4" t="s">
        <v>44</v>
      </c>
      <c r="B322" s="4" t="s">
        <v>85</v>
      </c>
      <c r="C322" s="4" t="s">
        <v>85</v>
      </c>
      <c r="D322" s="4" t="s">
        <v>85</v>
      </c>
      <c r="E322" s="4" t="s">
        <v>793</v>
      </c>
      <c r="F322" s="4" t="s">
        <v>794</v>
      </c>
      <c r="G322" s="4" t="s">
        <v>794</v>
      </c>
      <c r="H322" s="4" t="s">
        <v>85</v>
      </c>
    </row>
    <row r="323" spans="1:8" ht="66" customHeight="1">
      <c r="A323" s="3" t="s">
        <v>44</v>
      </c>
      <c r="B323" s="3" t="s">
        <v>85</v>
      </c>
      <c r="C323" s="3" t="s">
        <v>85</v>
      </c>
      <c r="D323" s="3" t="s">
        <v>85</v>
      </c>
      <c r="E323" s="3" t="s">
        <v>795</v>
      </c>
      <c r="F323" s="3" t="s">
        <v>433</v>
      </c>
      <c r="G323" s="3" t="s">
        <v>433</v>
      </c>
      <c r="H323" s="3" t="s">
        <v>85</v>
      </c>
    </row>
    <row r="324" spans="1:8" ht="66" customHeight="1">
      <c r="A324" s="4" t="s">
        <v>44</v>
      </c>
      <c r="B324" s="4" t="s">
        <v>796</v>
      </c>
      <c r="C324" s="4" t="s">
        <v>537</v>
      </c>
      <c r="D324" s="4" t="s">
        <v>797</v>
      </c>
      <c r="E324" s="4" t="s">
        <v>798</v>
      </c>
      <c r="F324" s="4" t="s">
        <v>498</v>
      </c>
      <c r="G324" s="4" t="s">
        <v>498</v>
      </c>
      <c r="H324" s="4" t="s">
        <v>799</v>
      </c>
    </row>
    <row r="325" spans="1:8" ht="66" customHeight="1">
      <c r="A325" s="3" t="s">
        <v>44</v>
      </c>
      <c r="B325" s="3" t="s">
        <v>85</v>
      </c>
      <c r="C325" s="3" t="s">
        <v>85</v>
      </c>
      <c r="D325" s="3" t="s">
        <v>85</v>
      </c>
      <c r="E325" s="3" t="s">
        <v>800</v>
      </c>
      <c r="F325" s="3" t="s">
        <v>501</v>
      </c>
      <c r="G325" s="3" t="s">
        <v>501</v>
      </c>
      <c r="H325" s="3" t="s">
        <v>85</v>
      </c>
    </row>
    <row r="326" spans="1:8" ht="66" customHeight="1">
      <c r="A326" s="4" t="s">
        <v>44</v>
      </c>
      <c r="B326" s="4" t="s">
        <v>85</v>
      </c>
      <c r="C326" s="4" t="s">
        <v>85</v>
      </c>
      <c r="D326" s="4" t="s">
        <v>85</v>
      </c>
      <c r="E326" s="4" t="s">
        <v>801</v>
      </c>
      <c r="F326" s="4" t="s">
        <v>503</v>
      </c>
      <c r="G326" s="4" t="s">
        <v>503</v>
      </c>
      <c r="H326" s="4" t="s">
        <v>85</v>
      </c>
    </row>
    <row r="327" spans="1:8" ht="66" customHeight="1">
      <c r="A327" s="3" t="s">
        <v>44</v>
      </c>
      <c r="B327" s="3" t="s">
        <v>85</v>
      </c>
      <c r="C327" s="3" t="s">
        <v>85</v>
      </c>
      <c r="D327" s="3" t="s">
        <v>85</v>
      </c>
      <c r="E327" s="3" t="s">
        <v>802</v>
      </c>
      <c r="F327" s="3" t="s">
        <v>488</v>
      </c>
      <c r="G327" s="3" t="s">
        <v>488</v>
      </c>
      <c r="H327" s="3" t="s">
        <v>85</v>
      </c>
    </row>
    <row r="328" spans="1:8" ht="66" customHeight="1">
      <c r="A328" s="4" t="s">
        <v>44</v>
      </c>
      <c r="B328" s="4" t="s">
        <v>85</v>
      </c>
      <c r="C328" s="4" t="s">
        <v>85</v>
      </c>
      <c r="D328" s="4" t="s">
        <v>85</v>
      </c>
      <c r="E328" s="4" t="s">
        <v>803</v>
      </c>
      <c r="F328" s="4" t="s">
        <v>476</v>
      </c>
      <c r="G328" s="4" t="s">
        <v>476</v>
      </c>
      <c r="H328" s="4" t="s">
        <v>85</v>
      </c>
    </row>
    <row r="329" spans="1:8" ht="66" customHeight="1">
      <c r="A329" s="3" t="s">
        <v>44</v>
      </c>
      <c r="B329" s="3" t="s">
        <v>804</v>
      </c>
      <c r="C329" s="3" t="s">
        <v>537</v>
      </c>
      <c r="D329" s="3" t="s">
        <v>805</v>
      </c>
      <c r="E329" s="3" t="s">
        <v>609</v>
      </c>
      <c r="F329" s="3" t="s">
        <v>806</v>
      </c>
      <c r="G329" s="3" t="s">
        <v>806</v>
      </c>
      <c r="H329" s="3" t="s">
        <v>807</v>
      </c>
    </row>
    <row r="330" spans="1:8" ht="66" customHeight="1">
      <c r="A330" s="4" t="s">
        <v>44</v>
      </c>
      <c r="B330" s="4" t="s">
        <v>85</v>
      </c>
      <c r="C330" s="4" t="s">
        <v>85</v>
      </c>
      <c r="D330" s="4" t="s">
        <v>85</v>
      </c>
      <c r="E330" s="4" t="s">
        <v>808</v>
      </c>
      <c r="F330" s="4" t="s">
        <v>481</v>
      </c>
      <c r="G330" s="4" t="s">
        <v>481</v>
      </c>
      <c r="H330" s="4" t="s">
        <v>85</v>
      </c>
    </row>
    <row r="331" spans="1:8" ht="66" customHeight="1">
      <c r="A331" s="3" t="s">
        <v>44</v>
      </c>
      <c r="B331" s="3" t="s">
        <v>85</v>
      </c>
      <c r="C331" s="3" t="s">
        <v>85</v>
      </c>
      <c r="D331" s="3" t="s">
        <v>85</v>
      </c>
      <c r="E331" s="3" t="s">
        <v>646</v>
      </c>
      <c r="F331" s="3" t="s">
        <v>809</v>
      </c>
      <c r="G331" s="3" t="s">
        <v>809</v>
      </c>
      <c r="H331" s="3" t="s">
        <v>85</v>
      </c>
    </row>
    <row r="332" spans="1:8" ht="66" customHeight="1">
      <c r="A332" s="4" t="s">
        <v>44</v>
      </c>
      <c r="B332" s="4" t="s">
        <v>85</v>
      </c>
      <c r="C332" s="4" t="s">
        <v>85</v>
      </c>
      <c r="D332" s="4" t="s">
        <v>85</v>
      </c>
      <c r="E332" s="4" t="s">
        <v>810</v>
      </c>
      <c r="F332" s="4" t="s">
        <v>476</v>
      </c>
      <c r="G332" s="4" t="s">
        <v>476</v>
      </c>
      <c r="H332" s="4" t="s">
        <v>85</v>
      </c>
    </row>
    <row r="333" spans="1:8" ht="66" customHeight="1">
      <c r="A333" s="3" t="s">
        <v>44</v>
      </c>
      <c r="B333" s="3" t="s">
        <v>811</v>
      </c>
      <c r="C333" s="3" t="s">
        <v>537</v>
      </c>
      <c r="D333" s="3" t="s">
        <v>812</v>
      </c>
      <c r="E333" s="3" t="s">
        <v>813</v>
      </c>
      <c r="F333" s="3" t="s">
        <v>814</v>
      </c>
      <c r="G333" s="3" t="s">
        <v>814</v>
      </c>
      <c r="H333" s="3" t="s">
        <v>815</v>
      </c>
    </row>
    <row r="334" spans="1:8" ht="66" customHeight="1">
      <c r="A334" s="4" t="s">
        <v>44</v>
      </c>
      <c r="B334" s="4" t="s">
        <v>85</v>
      </c>
      <c r="C334" s="4" t="s">
        <v>85</v>
      </c>
      <c r="D334" s="4" t="s">
        <v>85</v>
      </c>
      <c r="E334" s="4" t="s">
        <v>816</v>
      </c>
      <c r="F334" s="4" t="s">
        <v>817</v>
      </c>
      <c r="G334" s="4" t="s">
        <v>817</v>
      </c>
      <c r="H334" s="4" t="s">
        <v>85</v>
      </c>
    </row>
    <row r="335" spans="1:8" ht="66" customHeight="1">
      <c r="A335" s="3" t="s">
        <v>44</v>
      </c>
      <c r="B335" s="3" t="s">
        <v>85</v>
      </c>
      <c r="C335" s="3" t="s">
        <v>85</v>
      </c>
      <c r="D335" s="3" t="s">
        <v>85</v>
      </c>
      <c r="E335" s="3" t="s">
        <v>646</v>
      </c>
      <c r="F335" s="3" t="s">
        <v>592</v>
      </c>
      <c r="G335" s="3" t="s">
        <v>592</v>
      </c>
      <c r="H335" s="3" t="s">
        <v>85</v>
      </c>
    </row>
    <row r="336" spans="1:8" ht="66" customHeight="1">
      <c r="A336" s="4" t="s">
        <v>44</v>
      </c>
      <c r="B336" s="4" t="s">
        <v>85</v>
      </c>
      <c r="C336" s="4" t="s">
        <v>85</v>
      </c>
      <c r="D336" s="4" t="s">
        <v>85</v>
      </c>
      <c r="E336" s="4" t="s">
        <v>818</v>
      </c>
      <c r="F336" s="4" t="s">
        <v>819</v>
      </c>
      <c r="G336" s="4" t="s">
        <v>819</v>
      </c>
      <c r="H336" s="4" t="s">
        <v>85</v>
      </c>
    </row>
    <row r="337" spans="1:8" ht="66" customHeight="1">
      <c r="A337" s="3" t="s">
        <v>44</v>
      </c>
      <c r="B337" s="3" t="s">
        <v>820</v>
      </c>
      <c r="C337" s="3" t="s">
        <v>537</v>
      </c>
      <c r="D337" s="3" t="s">
        <v>821</v>
      </c>
      <c r="E337" s="3" t="s">
        <v>813</v>
      </c>
      <c r="F337" s="3" t="s">
        <v>814</v>
      </c>
      <c r="G337" s="3" t="s">
        <v>814</v>
      </c>
      <c r="H337" s="3" t="s">
        <v>815</v>
      </c>
    </row>
    <row r="338" spans="1:8" ht="66" customHeight="1">
      <c r="A338" s="4" t="s">
        <v>44</v>
      </c>
      <c r="B338" s="4" t="s">
        <v>85</v>
      </c>
      <c r="C338" s="4" t="s">
        <v>85</v>
      </c>
      <c r="D338" s="4" t="s">
        <v>85</v>
      </c>
      <c r="E338" s="4" t="s">
        <v>816</v>
      </c>
      <c r="F338" s="4" t="s">
        <v>817</v>
      </c>
      <c r="G338" s="4" t="s">
        <v>817</v>
      </c>
      <c r="H338" s="4" t="s">
        <v>85</v>
      </c>
    </row>
    <row r="339" spans="1:8" ht="66" customHeight="1">
      <c r="A339" s="3" t="s">
        <v>44</v>
      </c>
      <c r="B339" s="3" t="s">
        <v>85</v>
      </c>
      <c r="C339" s="3" t="s">
        <v>85</v>
      </c>
      <c r="D339" s="3" t="s">
        <v>85</v>
      </c>
      <c r="E339" s="3" t="s">
        <v>646</v>
      </c>
      <c r="F339" s="3" t="s">
        <v>592</v>
      </c>
      <c r="G339" s="3" t="s">
        <v>592</v>
      </c>
      <c r="H339" s="3" t="s">
        <v>85</v>
      </c>
    </row>
    <row r="340" spans="1:8" ht="66" customHeight="1">
      <c r="A340" s="4" t="s">
        <v>44</v>
      </c>
      <c r="B340" s="4" t="s">
        <v>85</v>
      </c>
      <c r="C340" s="4" t="s">
        <v>85</v>
      </c>
      <c r="D340" s="4" t="s">
        <v>85</v>
      </c>
      <c r="E340" s="4" t="s">
        <v>818</v>
      </c>
      <c r="F340" s="4" t="s">
        <v>819</v>
      </c>
      <c r="G340" s="4" t="s">
        <v>819</v>
      </c>
      <c r="H340" s="4" t="s">
        <v>85</v>
      </c>
    </row>
    <row r="341" spans="1:8" ht="66" customHeight="1">
      <c r="A341" s="3" t="s">
        <v>44</v>
      </c>
      <c r="B341" s="3" t="s">
        <v>822</v>
      </c>
      <c r="C341" s="3" t="s">
        <v>537</v>
      </c>
      <c r="D341" s="3" t="s">
        <v>823</v>
      </c>
      <c r="E341" s="3" t="s">
        <v>813</v>
      </c>
      <c r="F341" s="3" t="s">
        <v>814</v>
      </c>
      <c r="G341" s="3" t="s">
        <v>814</v>
      </c>
      <c r="H341" s="3" t="s">
        <v>815</v>
      </c>
    </row>
    <row r="342" spans="1:8" ht="66" customHeight="1">
      <c r="A342" s="4" t="s">
        <v>44</v>
      </c>
      <c r="B342" s="4" t="s">
        <v>85</v>
      </c>
      <c r="C342" s="4" t="s">
        <v>85</v>
      </c>
      <c r="D342" s="4" t="s">
        <v>85</v>
      </c>
      <c r="E342" s="4" t="s">
        <v>816</v>
      </c>
      <c r="F342" s="4" t="s">
        <v>817</v>
      </c>
      <c r="G342" s="4" t="s">
        <v>817</v>
      </c>
      <c r="H342" s="4" t="s">
        <v>85</v>
      </c>
    </row>
    <row r="343" spans="1:8" ht="66" customHeight="1">
      <c r="A343" s="3" t="s">
        <v>44</v>
      </c>
      <c r="B343" s="3" t="s">
        <v>85</v>
      </c>
      <c r="C343" s="3" t="s">
        <v>85</v>
      </c>
      <c r="D343" s="3" t="s">
        <v>85</v>
      </c>
      <c r="E343" s="3" t="s">
        <v>646</v>
      </c>
      <c r="F343" s="3" t="s">
        <v>592</v>
      </c>
      <c r="G343" s="3" t="s">
        <v>592</v>
      </c>
      <c r="H343" s="3" t="s">
        <v>85</v>
      </c>
    </row>
    <row r="344" spans="1:8" ht="66" customHeight="1">
      <c r="A344" s="4" t="s">
        <v>44</v>
      </c>
      <c r="B344" s="4" t="s">
        <v>85</v>
      </c>
      <c r="C344" s="4" t="s">
        <v>85</v>
      </c>
      <c r="D344" s="4" t="s">
        <v>85</v>
      </c>
      <c r="E344" s="4" t="s">
        <v>818</v>
      </c>
      <c r="F344" s="4" t="s">
        <v>819</v>
      </c>
      <c r="G344" s="4" t="s">
        <v>819</v>
      </c>
      <c r="H344" s="4" t="s">
        <v>85</v>
      </c>
    </row>
    <row r="345" spans="1:8" ht="66" customHeight="1">
      <c r="A345" s="3" t="s">
        <v>44</v>
      </c>
      <c r="B345" s="3" t="s">
        <v>824</v>
      </c>
      <c r="C345" s="3" t="s">
        <v>537</v>
      </c>
      <c r="D345" s="3" t="s">
        <v>825</v>
      </c>
      <c r="E345" s="3" t="s">
        <v>798</v>
      </c>
      <c r="F345" s="3" t="s">
        <v>498</v>
      </c>
      <c r="G345" s="3" t="s">
        <v>498</v>
      </c>
      <c r="H345" s="3" t="s">
        <v>815</v>
      </c>
    </row>
    <row r="346" spans="1:8" ht="66" customHeight="1">
      <c r="A346" s="4" t="s">
        <v>44</v>
      </c>
      <c r="B346" s="4" t="s">
        <v>85</v>
      </c>
      <c r="C346" s="4" t="s">
        <v>85</v>
      </c>
      <c r="D346" s="4" t="s">
        <v>85</v>
      </c>
      <c r="E346" s="4" t="s">
        <v>826</v>
      </c>
      <c r="F346" s="4" t="s">
        <v>501</v>
      </c>
      <c r="G346" s="4" t="s">
        <v>501</v>
      </c>
      <c r="H346" s="4" t="s">
        <v>85</v>
      </c>
    </row>
    <row r="347" spans="1:8" ht="66" customHeight="1">
      <c r="A347" s="3" t="s">
        <v>44</v>
      </c>
      <c r="B347" s="3" t="s">
        <v>85</v>
      </c>
      <c r="C347" s="3" t="s">
        <v>85</v>
      </c>
      <c r="D347" s="3" t="s">
        <v>85</v>
      </c>
      <c r="E347" s="3" t="s">
        <v>827</v>
      </c>
      <c r="F347" s="3" t="s">
        <v>503</v>
      </c>
      <c r="G347" s="3" t="s">
        <v>503</v>
      </c>
      <c r="H347" s="3" t="s">
        <v>85</v>
      </c>
    </row>
    <row r="348" spans="1:8" ht="66" customHeight="1">
      <c r="A348" s="4" t="s">
        <v>44</v>
      </c>
      <c r="B348" s="4" t="s">
        <v>85</v>
      </c>
      <c r="C348" s="4" t="s">
        <v>85</v>
      </c>
      <c r="D348" s="4" t="s">
        <v>85</v>
      </c>
      <c r="E348" s="4" t="s">
        <v>828</v>
      </c>
      <c r="F348" s="4" t="s">
        <v>488</v>
      </c>
      <c r="G348" s="4" t="s">
        <v>488</v>
      </c>
      <c r="H348" s="4" t="s">
        <v>85</v>
      </c>
    </row>
    <row r="349" spans="1:8" ht="66" customHeight="1">
      <c r="A349" s="3" t="s">
        <v>44</v>
      </c>
      <c r="B349" s="3" t="s">
        <v>85</v>
      </c>
      <c r="C349" s="3" t="s">
        <v>85</v>
      </c>
      <c r="D349" s="3" t="s">
        <v>85</v>
      </c>
      <c r="E349" s="3" t="s">
        <v>829</v>
      </c>
      <c r="F349" s="3" t="s">
        <v>476</v>
      </c>
      <c r="G349" s="3" t="s">
        <v>476</v>
      </c>
      <c r="H349" s="3" t="s">
        <v>85</v>
      </c>
    </row>
    <row r="350" spans="1:8" ht="66" customHeight="1">
      <c r="A350" s="4" t="s">
        <v>44</v>
      </c>
      <c r="B350" s="4" t="s">
        <v>830</v>
      </c>
      <c r="C350" s="4" t="s">
        <v>537</v>
      </c>
      <c r="D350" s="4" t="s">
        <v>831</v>
      </c>
      <c r="E350" s="4" t="s">
        <v>798</v>
      </c>
      <c r="F350" s="4" t="s">
        <v>498</v>
      </c>
      <c r="G350" s="4" t="s">
        <v>498</v>
      </c>
      <c r="H350" s="4" t="s">
        <v>815</v>
      </c>
    </row>
    <row r="351" spans="1:8" ht="66" customHeight="1">
      <c r="A351" s="3" t="s">
        <v>44</v>
      </c>
      <c r="B351" s="3" t="s">
        <v>85</v>
      </c>
      <c r="C351" s="3" t="s">
        <v>85</v>
      </c>
      <c r="D351" s="3" t="s">
        <v>85</v>
      </c>
      <c r="E351" s="3" t="s">
        <v>826</v>
      </c>
      <c r="F351" s="3" t="s">
        <v>501</v>
      </c>
      <c r="G351" s="3" t="s">
        <v>501</v>
      </c>
      <c r="H351" s="3" t="s">
        <v>85</v>
      </c>
    </row>
    <row r="352" spans="1:8" ht="66" customHeight="1">
      <c r="A352" s="4" t="s">
        <v>44</v>
      </c>
      <c r="B352" s="4" t="s">
        <v>85</v>
      </c>
      <c r="C352" s="4" t="s">
        <v>85</v>
      </c>
      <c r="D352" s="4" t="s">
        <v>85</v>
      </c>
      <c r="E352" s="4" t="s">
        <v>827</v>
      </c>
      <c r="F352" s="4" t="s">
        <v>503</v>
      </c>
      <c r="G352" s="4" t="s">
        <v>503</v>
      </c>
      <c r="H352" s="4" t="s">
        <v>85</v>
      </c>
    </row>
    <row r="353" spans="1:8" ht="66" customHeight="1">
      <c r="A353" s="3" t="s">
        <v>44</v>
      </c>
      <c r="B353" s="3" t="s">
        <v>85</v>
      </c>
      <c r="C353" s="3" t="s">
        <v>85</v>
      </c>
      <c r="D353" s="3" t="s">
        <v>85</v>
      </c>
      <c r="E353" s="3" t="s">
        <v>828</v>
      </c>
      <c r="F353" s="3" t="s">
        <v>488</v>
      </c>
      <c r="G353" s="3" t="s">
        <v>488</v>
      </c>
      <c r="H353" s="3" t="s">
        <v>85</v>
      </c>
    </row>
    <row r="354" spans="1:8" ht="66" customHeight="1">
      <c r="A354" s="4" t="s">
        <v>44</v>
      </c>
      <c r="B354" s="4" t="s">
        <v>85</v>
      </c>
      <c r="C354" s="4" t="s">
        <v>85</v>
      </c>
      <c r="D354" s="4" t="s">
        <v>85</v>
      </c>
      <c r="E354" s="4" t="s">
        <v>829</v>
      </c>
      <c r="F354" s="4" t="s">
        <v>476</v>
      </c>
      <c r="G354" s="4" t="s">
        <v>476</v>
      </c>
      <c r="H354" s="4" t="s">
        <v>85</v>
      </c>
    </row>
    <row r="355" spans="1:8" ht="66" customHeight="1">
      <c r="A355" s="3" t="s">
        <v>44</v>
      </c>
      <c r="B355" s="3" t="s">
        <v>832</v>
      </c>
      <c r="C355" s="3" t="s">
        <v>537</v>
      </c>
      <c r="D355" s="3" t="s">
        <v>833</v>
      </c>
      <c r="E355" s="3" t="s">
        <v>834</v>
      </c>
      <c r="F355" s="3" t="s">
        <v>835</v>
      </c>
      <c r="G355" s="3" t="s">
        <v>835</v>
      </c>
      <c r="H355" s="3" t="s">
        <v>815</v>
      </c>
    </row>
    <row r="356" spans="1:8" ht="66" customHeight="1">
      <c r="A356" s="4" t="s">
        <v>44</v>
      </c>
      <c r="B356" s="4" t="s">
        <v>85</v>
      </c>
      <c r="C356" s="4" t="s">
        <v>85</v>
      </c>
      <c r="D356" s="4" t="s">
        <v>85</v>
      </c>
      <c r="E356" s="4" t="s">
        <v>827</v>
      </c>
      <c r="F356" s="4" t="s">
        <v>836</v>
      </c>
      <c r="G356" s="4" t="s">
        <v>836</v>
      </c>
      <c r="H356" s="4" t="s">
        <v>85</v>
      </c>
    </row>
    <row r="357" spans="1:8" ht="66" customHeight="1">
      <c r="A357" s="3" t="s">
        <v>44</v>
      </c>
      <c r="B357" s="3" t="s">
        <v>85</v>
      </c>
      <c r="C357" s="3" t="s">
        <v>85</v>
      </c>
      <c r="D357" s="3" t="s">
        <v>85</v>
      </c>
      <c r="E357" s="3" t="s">
        <v>828</v>
      </c>
      <c r="F357" s="3" t="s">
        <v>481</v>
      </c>
      <c r="G357" s="3" t="s">
        <v>481</v>
      </c>
      <c r="H357" s="3" t="s">
        <v>85</v>
      </c>
    </row>
    <row r="358" spans="1:8" ht="66" customHeight="1">
      <c r="A358" s="4" t="s">
        <v>44</v>
      </c>
      <c r="B358" s="4" t="s">
        <v>85</v>
      </c>
      <c r="C358" s="4" t="s">
        <v>85</v>
      </c>
      <c r="D358" s="4" t="s">
        <v>85</v>
      </c>
      <c r="E358" s="4" t="s">
        <v>829</v>
      </c>
      <c r="F358" s="4" t="s">
        <v>837</v>
      </c>
      <c r="G358" s="4" t="s">
        <v>837</v>
      </c>
      <c r="H358" s="4" t="s">
        <v>85</v>
      </c>
    </row>
    <row r="359" spans="1:8" ht="66" customHeight="1">
      <c r="A359" s="3" t="s">
        <v>44</v>
      </c>
      <c r="B359" s="3" t="s">
        <v>838</v>
      </c>
      <c r="C359" s="3" t="s">
        <v>537</v>
      </c>
      <c r="D359" s="3" t="s">
        <v>839</v>
      </c>
      <c r="E359" s="3" t="s">
        <v>840</v>
      </c>
      <c r="F359" s="3" t="s">
        <v>498</v>
      </c>
      <c r="G359" s="3" t="s">
        <v>498</v>
      </c>
      <c r="H359" s="3" t="s">
        <v>841</v>
      </c>
    </row>
    <row r="360" spans="1:8" ht="66" customHeight="1">
      <c r="A360" s="4" t="s">
        <v>44</v>
      </c>
      <c r="B360" s="4" t="s">
        <v>85</v>
      </c>
      <c r="C360" s="4" t="s">
        <v>85</v>
      </c>
      <c r="D360" s="4" t="s">
        <v>85</v>
      </c>
      <c r="E360" s="4" t="s">
        <v>842</v>
      </c>
      <c r="F360" s="4" t="s">
        <v>501</v>
      </c>
      <c r="G360" s="4" t="s">
        <v>501</v>
      </c>
      <c r="H360" s="4" t="s">
        <v>85</v>
      </c>
    </row>
    <row r="361" spans="1:8" ht="66" customHeight="1">
      <c r="A361" s="3" t="s">
        <v>44</v>
      </c>
      <c r="B361" s="3" t="s">
        <v>85</v>
      </c>
      <c r="C361" s="3" t="s">
        <v>85</v>
      </c>
      <c r="D361" s="3" t="s">
        <v>85</v>
      </c>
      <c r="E361" s="3" t="s">
        <v>843</v>
      </c>
      <c r="F361" s="3" t="s">
        <v>503</v>
      </c>
      <c r="G361" s="3" t="s">
        <v>503</v>
      </c>
      <c r="H361" s="3" t="s">
        <v>85</v>
      </c>
    </row>
    <row r="362" spans="1:8" ht="66" customHeight="1">
      <c r="A362" s="4" t="s">
        <v>44</v>
      </c>
      <c r="B362" s="4" t="s">
        <v>85</v>
      </c>
      <c r="C362" s="4" t="s">
        <v>85</v>
      </c>
      <c r="D362" s="4" t="s">
        <v>85</v>
      </c>
      <c r="E362" s="4" t="s">
        <v>844</v>
      </c>
      <c r="F362" s="4" t="s">
        <v>488</v>
      </c>
      <c r="G362" s="4" t="s">
        <v>488</v>
      </c>
      <c r="H362" s="4" t="s">
        <v>85</v>
      </c>
    </row>
    <row r="363" spans="1:8" ht="66" customHeight="1">
      <c r="A363" s="3" t="s">
        <v>44</v>
      </c>
      <c r="B363" s="3" t="s">
        <v>85</v>
      </c>
      <c r="C363" s="3" t="s">
        <v>85</v>
      </c>
      <c r="D363" s="3" t="s">
        <v>85</v>
      </c>
      <c r="E363" s="3" t="s">
        <v>845</v>
      </c>
      <c r="F363" s="3" t="s">
        <v>476</v>
      </c>
      <c r="G363" s="3" t="s">
        <v>476</v>
      </c>
      <c r="H363" s="3" t="s">
        <v>85</v>
      </c>
    </row>
    <row r="364" spans="1:8" ht="66" customHeight="1">
      <c r="A364" s="4" t="s">
        <v>44</v>
      </c>
      <c r="B364" s="4" t="s">
        <v>846</v>
      </c>
      <c r="C364" s="4" t="s">
        <v>537</v>
      </c>
      <c r="D364" s="4" t="s">
        <v>847</v>
      </c>
      <c r="E364" s="4" t="s">
        <v>840</v>
      </c>
      <c r="F364" s="4" t="s">
        <v>848</v>
      </c>
      <c r="G364" s="4" t="s">
        <v>848</v>
      </c>
      <c r="H364" s="4" t="s">
        <v>815</v>
      </c>
    </row>
    <row r="365" spans="1:8" ht="66" customHeight="1">
      <c r="A365" s="3" t="s">
        <v>44</v>
      </c>
      <c r="B365" s="3" t="s">
        <v>85</v>
      </c>
      <c r="C365" s="3" t="s">
        <v>85</v>
      </c>
      <c r="D365" s="3" t="s">
        <v>85</v>
      </c>
      <c r="E365" s="3" t="s">
        <v>849</v>
      </c>
      <c r="F365" s="3" t="s">
        <v>850</v>
      </c>
      <c r="G365" s="3" t="s">
        <v>850</v>
      </c>
      <c r="H365" s="3" t="s">
        <v>85</v>
      </c>
    </row>
    <row r="366" spans="1:8" ht="66" customHeight="1">
      <c r="A366" s="4" t="s">
        <v>44</v>
      </c>
      <c r="B366" s="4" t="s">
        <v>85</v>
      </c>
      <c r="C366" s="4" t="s">
        <v>85</v>
      </c>
      <c r="D366" s="4" t="s">
        <v>85</v>
      </c>
      <c r="E366" s="4" t="s">
        <v>851</v>
      </c>
      <c r="F366" s="4" t="s">
        <v>488</v>
      </c>
      <c r="G366" s="4" t="s">
        <v>488</v>
      </c>
      <c r="H366" s="4" t="s">
        <v>85</v>
      </c>
    </row>
    <row r="367" spans="1:8" ht="66" customHeight="1">
      <c r="A367" s="3" t="s">
        <v>44</v>
      </c>
      <c r="B367" s="3" t="s">
        <v>852</v>
      </c>
      <c r="C367" s="3" t="s">
        <v>537</v>
      </c>
      <c r="D367" s="3" t="s">
        <v>853</v>
      </c>
      <c r="E367" s="3" t="s">
        <v>854</v>
      </c>
      <c r="F367" s="3" t="s">
        <v>600</v>
      </c>
      <c r="G367" s="3" t="s">
        <v>600</v>
      </c>
      <c r="H367" s="3" t="s">
        <v>815</v>
      </c>
    </row>
    <row r="368" spans="1:8" ht="66" customHeight="1">
      <c r="A368" s="4" t="s">
        <v>44</v>
      </c>
      <c r="B368" s="4" t="s">
        <v>85</v>
      </c>
      <c r="C368" s="4" t="s">
        <v>85</v>
      </c>
      <c r="D368" s="4" t="s">
        <v>85</v>
      </c>
      <c r="E368" s="4" t="s">
        <v>855</v>
      </c>
      <c r="F368" s="4" t="s">
        <v>645</v>
      </c>
      <c r="G368" s="4" t="s">
        <v>645</v>
      </c>
      <c r="H368" s="4" t="s">
        <v>85</v>
      </c>
    </row>
    <row r="369" spans="1:8" ht="66" customHeight="1">
      <c r="A369" s="3" t="s">
        <v>44</v>
      </c>
      <c r="B369" s="3" t="s">
        <v>85</v>
      </c>
      <c r="C369" s="3" t="s">
        <v>85</v>
      </c>
      <c r="D369" s="3" t="s">
        <v>85</v>
      </c>
      <c r="E369" s="3" t="s">
        <v>856</v>
      </c>
      <c r="F369" s="3" t="s">
        <v>857</v>
      </c>
      <c r="G369" s="3" t="s">
        <v>857</v>
      </c>
      <c r="H369" s="3" t="s">
        <v>85</v>
      </c>
    </row>
    <row r="370" spans="1:8" ht="66" customHeight="1">
      <c r="A370" s="4" t="s">
        <v>44</v>
      </c>
      <c r="B370" s="4" t="s">
        <v>85</v>
      </c>
      <c r="C370" s="4" t="s">
        <v>85</v>
      </c>
      <c r="D370" s="4" t="s">
        <v>85</v>
      </c>
      <c r="E370" s="4" t="s">
        <v>858</v>
      </c>
      <c r="F370" s="4" t="s">
        <v>606</v>
      </c>
      <c r="G370" s="4" t="s">
        <v>606</v>
      </c>
      <c r="H370" s="4" t="s">
        <v>85</v>
      </c>
    </row>
    <row r="371" spans="1:8" ht="66" customHeight="1">
      <c r="A371" s="3" t="s">
        <v>44</v>
      </c>
      <c r="B371" s="3" t="s">
        <v>859</v>
      </c>
      <c r="C371" s="3" t="s">
        <v>537</v>
      </c>
      <c r="D371" s="3" t="s">
        <v>860</v>
      </c>
      <c r="E371" s="3" t="s">
        <v>854</v>
      </c>
      <c r="F371" s="3" t="s">
        <v>600</v>
      </c>
      <c r="G371" s="3" t="s">
        <v>600</v>
      </c>
      <c r="H371" s="3" t="s">
        <v>815</v>
      </c>
    </row>
    <row r="372" spans="1:8" ht="66" customHeight="1">
      <c r="A372" s="4" t="s">
        <v>44</v>
      </c>
      <c r="B372" s="4" t="s">
        <v>85</v>
      </c>
      <c r="C372" s="4" t="s">
        <v>85</v>
      </c>
      <c r="D372" s="4" t="s">
        <v>85</v>
      </c>
      <c r="E372" s="4" t="s">
        <v>855</v>
      </c>
      <c r="F372" s="4" t="s">
        <v>645</v>
      </c>
      <c r="G372" s="4" t="s">
        <v>645</v>
      </c>
      <c r="H372" s="4" t="s">
        <v>85</v>
      </c>
    </row>
    <row r="373" spans="1:8" ht="66" customHeight="1">
      <c r="A373" s="3" t="s">
        <v>44</v>
      </c>
      <c r="B373" s="3" t="s">
        <v>85</v>
      </c>
      <c r="C373" s="3" t="s">
        <v>85</v>
      </c>
      <c r="D373" s="3" t="s">
        <v>85</v>
      </c>
      <c r="E373" s="3" t="s">
        <v>856</v>
      </c>
      <c r="F373" s="3" t="s">
        <v>857</v>
      </c>
      <c r="G373" s="3" t="s">
        <v>857</v>
      </c>
      <c r="H373" s="3" t="s">
        <v>85</v>
      </c>
    </row>
    <row r="374" spans="1:8" ht="66" customHeight="1">
      <c r="A374" s="4" t="s">
        <v>44</v>
      </c>
      <c r="B374" s="4" t="s">
        <v>85</v>
      </c>
      <c r="C374" s="4" t="s">
        <v>85</v>
      </c>
      <c r="D374" s="4" t="s">
        <v>85</v>
      </c>
      <c r="E374" s="4" t="s">
        <v>858</v>
      </c>
      <c r="F374" s="4" t="s">
        <v>606</v>
      </c>
      <c r="G374" s="4" t="s">
        <v>606</v>
      </c>
      <c r="H374" s="4" t="s">
        <v>85</v>
      </c>
    </row>
    <row r="375" spans="1:8" ht="66" customHeight="1">
      <c r="A375" s="3" t="s">
        <v>44</v>
      </c>
      <c r="B375" s="3" t="s">
        <v>861</v>
      </c>
      <c r="C375" s="3" t="s">
        <v>537</v>
      </c>
      <c r="D375" s="3" t="s">
        <v>862</v>
      </c>
      <c r="E375" s="3" t="s">
        <v>854</v>
      </c>
      <c r="F375" s="3" t="s">
        <v>600</v>
      </c>
      <c r="G375" s="3" t="s">
        <v>600</v>
      </c>
      <c r="H375" s="3" t="s">
        <v>815</v>
      </c>
    </row>
    <row r="376" spans="1:8" ht="66" customHeight="1">
      <c r="A376" s="4" t="s">
        <v>44</v>
      </c>
      <c r="B376" s="4" t="s">
        <v>85</v>
      </c>
      <c r="C376" s="4" t="s">
        <v>85</v>
      </c>
      <c r="D376" s="4" t="s">
        <v>85</v>
      </c>
      <c r="E376" s="4" t="s">
        <v>855</v>
      </c>
      <c r="F376" s="4" t="s">
        <v>645</v>
      </c>
      <c r="G376" s="4" t="s">
        <v>645</v>
      </c>
      <c r="H376" s="4" t="s">
        <v>85</v>
      </c>
    </row>
    <row r="377" spans="1:8" ht="66" customHeight="1">
      <c r="A377" s="3" t="s">
        <v>44</v>
      </c>
      <c r="B377" s="3" t="s">
        <v>85</v>
      </c>
      <c r="C377" s="3" t="s">
        <v>85</v>
      </c>
      <c r="D377" s="3" t="s">
        <v>85</v>
      </c>
      <c r="E377" s="3" t="s">
        <v>856</v>
      </c>
      <c r="F377" s="3" t="s">
        <v>857</v>
      </c>
      <c r="G377" s="3" t="s">
        <v>857</v>
      </c>
      <c r="H377" s="3" t="s">
        <v>85</v>
      </c>
    </row>
    <row r="378" spans="1:8" ht="66" customHeight="1">
      <c r="A378" s="4" t="s">
        <v>44</v>
      </c>
      <c r="B378" s="4" t="s">
        <v>85</v>
      </c>
      <c r="C378" s="4" t="s">
        <v>85</v>
      </c>
      <c r="D378" s="4" t="s">
        <v>85</v>
      </c>
      <c r="E378" s="4" t="s">
        <v>858</v>
      </c>
      <c r="F378" s="4" t="s">
        <v>606</v>
      </c>
      <c r="G378" s="4" t="s">
        <v>606</v>
      </c>
      <c r="H378" s="4" t="s">
        <v>85</v>
      </c>
    </row>
    <row r="379" spans="1:8" ht="66" customHeight="1">
      <c r="A379" s="3" t="s">
        <v>44</v>
      </c>
      <c r="B379" s="3" t="s">
        <v>863</v>
      </c>
      <c r="C379" s="3" t="s">
        <v>537</v>
      </c>
      <c r="D379" s="3" t="s">
        <v>864</v>
      </c>
      <c r="E379" s="3" t="s">
        <v>865</v>
      </c>
      <c r="F379" s="3" t="s">
        <v>761</v>
      </c>
      <c r="G379" s="3" t="s">
        <v>761</v>
      </c>
      <c r="H379" s="3" t="s">
        <v>866</v>
      </c>
    </row>
    <row r="380" spans="1:8" ht="66" customHeight="1">
      <c r="A380" s="4" t="s">
        <v>44</v>
      </c>
      <c r="B380" s="4" t="s">
        <v>85</v>
      </c>
      <c r="C380" s="4" t="s">
        <v>85</v>
      </c>
      <c r="D380" s="4" t="s">
        <v>85</v>
      </c>
      <c r="E380" s="4" t="s">
        <v>867</v>
      </c>
      <c r="F380" s="4" t="s">
        <v>592</v>
      </c>
      <c r="G380" s="4" t="s">
        <v>592</v>
      </c>
      <c r="H380" s="4" t="s">
        <v>85</v>
      </c>
    </row>
    <row r="381" spans="1:8" ht="66" customHeight="1">
      <c r="A381" s="3" t="s">
        <v>44</v>
      </c>
      <c r="B381" s="3" t="s">
        <v>85</v>
      </c>
      <c r="C381" s="3" t="s">
        <v>85</v>
      </c>
      <c r="D381" s="3" t="s">
        <v>85</v>
      </c>
      <c r="E381" s="3" t="s">
        <v>868</v>
      </c>
      <c r="F381" s="3" t="s">
        <v>764</v>
      </c>
      <c r="G381" s="3" t="s">
        <v>764</v>
      </c>
      <c r="H381" s="3" t="s">
        <v>85</v>
      </c>
    </row>
    <row r="382" spans="1:8" ht="66" customHeight="1">
      <c r="A382" s="4" t="s">
        <v>44</v>
      </c>
      <c r="B382" s="4" t="s">
        <v>869</v>
      </c>
      <c r="C382" s="4" t="s">
        <v>537</v>
      </c>
      <c r="D382" s="4" t="s">
        <v>870</v>
      </c>
      <c r="E382" s="4" t="s">
        <v>865</v>
      </c>
      <c r="F382" s="4" t="s">
        <v>761</v>
      </c>
      <c r="G382" s="4" t="s">
        <v>761</v>
      </c>
      <c r="H382" s="4" t="s">
        <v>866</v>
      </c>
    </row>
    <row r="383" spans="1:8" ht="66" customHeight="1">
      <c r="A383" s="3" t="s">
        <v>44</v>
      </c>
      <c r="B383" s="3" t="s">
        <v>85</v>
      </c>
      <c r="C383" s="3" t="s">
        <v>85</v>
      </c>
      <c r="D383" s="3" t="s">
        <v>85</v>
      </c>
      <c r="E383" s="3" t="s">
        <v>867</v>
      </c>
      <c r="F383" s="3" t="s">
        <v>592</v>
      </c>
      <c r="G383" s="3" t="s">
        <v>592</v>
      </c>
      <c r="H383" s="3" t="s">
        <v>85</v>
      </c>
    </row>
    <row r="384" spans="1:8" ht="66" customHeight="1">
      <c r="A384" s="4" t="s">
        <v>44</v>
      </c>
      <c r="B384" s="4" t="s">
        <v>85</v>
      </c>
      <c r="C384" s="4" t="s">
        <v>85</v>
      </c>
      <c r="D384" s="4" t="s">
        <v>85</v>
      </c>
      <c r="E384" s="4" t="s">
        <v>868</v>
      </c>
      <c r="F384" s="4" t="s">
        <v>764</v>
      </c>
      <c r="G384" s="4" t="s">
        <v>764</v>
      </c>
      <c r="H384" s="4" t="s">
        <v>85</v>
      </c>
    </row>
    <row r="385" spans="1:8" ht="84" customHeight="1">
      <c r="A385" s="3" t="s">
        <v>44</v>
      </c>
      <c r="B385" s="3" t="s">
        <v>871</v>
      </c>
      <c r="C385" s="3" t="s">
        <v>537</v>
      </c>
      <c r="D385" s="3" t="s">
        <v>872</v>
      </c>
      <c r="E385" s="3" t="s">
        <v>873</v>
      </c>
      <c r="F385" s="3" t="s">
        <v>747</v>
      </c>
      <c r="G385" s="3" t="s">
        <v>747</v>
      </c>
      <c r="H385" s="3" t="s">
        <v>874</v>
      </c>
    </row>
    <row r="386" spans="1:8" ht="66" customHeight="1">
      <c r="A386" s="4" t="s">
        <v>44</v>
      </c>
      <c r="B386" s="4" t="s">
        <v>85</v>
      </c>
      <c r="C386" s="4" t="s">
        <v>85</v>
      </c>
      <c r="D386" s="4" t="s">
        <v>85</v>
      </c>
      <c r="E386" s="4" t="s">
        <v>875</v>
      </c>
      <c r="F386" s="4" t="s">
        <v>749</v>
      </c>
      <c r="G386" s="4" t="s">
        <v>749</v>
      </c>
      <c r="H386" s="4" t="s">
        <v>85</v>
      </c>
    </row>
    <row r="387" spans="1:8" ht="66" customHeight="1">
      <c r="A387" s="3" t="s">
        <v>44</v>
      </c>
      <c r="B387" s="3" t="s">
        <v>85</v>
      </c>
      <c r="C387" s="3" t="s">
        <v>85</v>
      </c>
      <c r="D387" s="3" t="s">
        <v>85</v>
      </c>
      <c r="E387" s="3" t="s">
        <v>876</v>
      </c>
      <c r="F387" s="3" t="s">
        <v>592</v>
      </c>
      <c r="G387" s="3" t="s">
        <v>592</v>
      </c>
      <c r="H387" s="3" t="s">
        <v>85</v>
      </c>
    </row>
    <row r="388" spans="1:8" ht="66" customHeight="1">
      <c r="A388" s="4" t="s">
        <v>44</v>
      </c>
      <c r="B388" s="4" t="s">
        <v>85</v>
      </c>
      <c r="C388" s="4" t="s">
        <v>85</v>
      </c>
      <c r="D388" s="4" t="s">
        <v>85</v>
      </c>
      <c r="E388" s="4" t="s">
        <v>877</v>
      </c>
      <c r="F388" s="4" t="s">
        <v>750</v>
      </c>
      <c r="G388" s="4" t="s">
        <v>750</v>
      </c>
      <c r="H388" s="4" t="s">
        <v>85</v>
      </c>
    </row>
    <row r="389" spans="1:8" ht="66" customHeight="1">
      <c r="A389" s="3" t="s">
        <v>44</v>
      </c>
      <c r="B389" s="3" t="s">
        <v>85</v>
      </c>
      <c r="C389" s="3" t="s">
        <v>85</v>
      </c>
      <c r="D389" s="3" t="s">
        <v>85</v>
      </c>
      <c r="E389" s="3" t="s">
        <v>878</v>
      </c>
      <c r="F389" s="3" t="s">
        <v>751</v>
      </c>
      <c r="G389" s="3" t="s">
        <v>751</v>
      </c>
      <c r="H389" s="3" t="s">
        <v>85</v>
      </c>
    </row>
    <row r="390" spans="1:8" ht="66" customHeight="1">
      <c r="A390" s="4" t="s">
        <v>44</v>
      </c>
      <c r="B390" s="4" t="s">
        <v>879</v>
      </c>
      <c r="C390" s="4" t="s">
        <v>537</v>
      </c>
      <c r="D390" s="4" t="s">
        <v>880</v>
      </c>
      <c r="E390" s="4" t="s">
        <v>881</v>
      </c>
      <c r="F390" s="4" t="s">
        <v>747</v>
      </c>
      <c r="G390" s="4" t="s">
        <v>747</v>
      </c>
      <c r="H390" s="4" t="s">
        <v>882</v>
      </c>
    </row>
    <row r="391" spans="1:8" ht="66" customHeight="1">
      <c r="A391" s="3" t="s">
        <v>44</v>
      </c>
      <c r="B391" s="3" t="s">
        <v>85</v>
      </c>
      <c r="C391" s="3" t="s">
        <v>85</v>
      </c>
      <c r="D391" s="3" t="s">
        <v>85</v>
      </c>
      <c r="E391" s="3" t="s">
        <v>883</v>
      </c>
      <c r="F391" s="3" t="s">
        <v>749</v>
      </c>
      <c r="G391" s="3" t="s">
        <v>749</v>
      </c>
      <c r="H391" s="3" t="s">
        <v>85</v>
      </c>
    </row>
    <row r="392" spans="1:8" ht="66" customHeight="1">
      <c r="A392" s="4" t="s">
        <v>44</v>
      </c>
      <c r="B392" s="4" t="s">
        <v>85</v>
      </c>
      <c r="C392" s="4" t="s">
        <v>85</v>
      </c>
      <c r="D392" s="4" t="s">
        <v>85</v>
      </c>
      <c r="E392" s="4" t="s">
        <v>884</v>
      </c>
      <c r="F392" s="4" t="s">
        <v>592</v>
      </c>
      <c r="G392" s="4" t="s">
        <v>592</v>
      </c>
      <c r="H392" s="4" t="s">
        <v>85</v>
      </c>
    </row>
    <row r="393" spans="1:8" ht="66" customHeight="1">
      <c r="A393" s="3" t="s">
        <v>44</v>
      </c>
      <c r="B393" s="3" t="s">
        <v>85</v>
      </c>
      <c r="C393" s="3" t="s">
        <v>85</v>
      </c>
      <c r="D393" s="3" t="s">
        <v>85</v>
      </c>
      <c r="E393" s="3" t="s">
        <v>885</v>
      </c>
      <c r="F393" s="3" t="s">
        <v>750</v>
      </c>
      <c r="G393" s="3" t="s">
        <v>750</v>
      </c>
      <c r="H393" s="3" t="s">
        <v>85</v>
      </c>
    </row>
    <row r="394" spans="1:8" ht="66" customHeight="1">
      <c r="A394" s="4" t="s">
        <v>44</v>
      </c>
      <c r="B394" s="4" t="s">
        <v>85</v>
      </c>
      <c r="C394" s="4" t="s">
        <v>85</v>
      </c>
      <c r="D394" s="4" t="s">
        <v>85</v>
      </c>
      <c r="E394" s="4" t="s">
        <v>886</v>
      </c>
      <c r="F394" s="4" t="s">
        <v>751</v>
      </c>
      <c r="G394" s="4" t="s">
        <v>751</v>
      </c>
      <c r="H394" s="4" t="s">
        <v>85</v>
      </c>
    </row>
    <row r="395" spans="1:8" ht="102" customHeight="1">
      <c r="A395" s="3" t="s">
        <v>44</v>
      </c>
      <c r="B395" s="3" t="s">
        <v>887</v>
      </c>
      <c r="C395" s="3" t="s">
        <v>537</v>
      </c>
      <c r="D395" s="3" t="s">
        <v>888</v>
      </c>
      <c r="E395" s="3" t="s">
        <v>889</v>
      </c>
      <c r="F395" s="3" t="s">
        <v>890</v>
      </c>
      <c r="G395" s="3" t="s">
        <v>891</v>
      </c>
      <c r="H395" s="3" t="s">
        <v>892</v>
      </c>
    </row>
    <row r="396" spans="1:8" ht="66" customHeight="1">
      <c r="A396" s="4" t="s">
        <v>44</v>
      </c>
      <c r="B396" s="4" t="s">
        <v>85</v>
      </c>
      <c r="C396" s="4" t="s">
        <v>85</v>
      </c>
      <c r="D396" s="4" t="s">
        <v>85</v>
      </c>
      <c r="E396" s="4" t="s">
        <v>893</v>
      </c>
      <c r="F396" s="4" t="s">
        <v>894</v>
      </c>
      <c r="G396" s="4" t="s">
        <v>895</v>
      </c>
      <c r="H396" s="4" t="s">
        <v>85</v>
      </c>
    </row>
    <row r="397" spans="1:8" ht="66" customHeight="1">
      <c r="A397" s="3" t="s">
        <v>44</v>
      </c>
      <c r="B397" s="3" t="s">
        <v>85</v>
      </c>
      <c r="C397" s="3" t="s">
        <v>85</v>
      </c>
      <c r="D397" s="3" t="s">
        <v>85</v>
      </c>
      <c r="E397" s="3" t="s">
        <v>896</v>
      </c>
      <c r="F397" s="3" t="s">
        <v>897</v>
      </c>
      <c r="G397" s="3" t="s">
        <v>898</v>
      </c>
      <c r="H397" s="3" t="s">
        <v>85</v>
      </c>
    </row>
    <row r="398" spans="1:8" ht="66" customHeight="1">
      <c r="A398" s="4" t="s">
        <v>44</v>
      </c>
      <c r="B398" s="4" t="s">
        <v>85</v>
      </c>
      <c r="C398" s="4" t="s">
        <v>85</v>
      </c>
      <c r="D398" s="4" t="s">
        <v>85</v>
      </c>
      <c r="E398" s="4" t="s">
        <v>899</v>
      </c>
      <c r="F398" s="4" t="s">
        <v>900</v>
      </c>
      <c r="G398" s="4" t="s">
        <v>901</v>
      </c>
      <c r="H398" s="4" t="s">
        <v>85</v>
      </c>
    </row>
    <row r="399" spans="1:8" ht="66" customHeight="1">
      <c r="A399" s="3" t="s">
        <v>44</v>
      </c>
      <c r="B399" s="3" t="s">
        <v>902</v>
      </c>
      <c r="C399" s="3" t="s">
        <v>537</v>
      </c>
      <c r="D399" s="3" t="s">
        <v>903</v>
      </c>
      <c r="E399" s="3" t="s">
        <v>904</v>
      </c>
      <c r="F399" s="3" t="s">
        <v>747</v>
      </c>
      <c r="G399" s="3" t="s">
        <v>747</v>
      </c>
      <c r="H399" s="3" t="s">
        <v>905</v>
      </c>
    </row>
    <row r="400" spans="1:8" ht="66" customHeight="1">
      <c r="A400" s="4" t="s">
        <v>44</v>
      </c>
      <c r="B400" s="4" t="s">
        <v>85</v>
      </c>
      <c r="C400" s="4" t="s">
        <v>85</v>
      </c>
      <c r="D400" s="4" t="s">
        <v>85</v>
      </c>
      <c r="E400" s="4" t="s">
        <v>906</v>
      </c>
      <c r="F400" s="4" t="s">
        <v>749</v>
      </c>
      <c r="G400" s="4" t="s">
        <v>749</v>
      </c>
      <c r="H400" s="4" t="s">
        <v>85</v>
      </c>
    </row>
    <row r="401" spans="1:8" ht="66" customHeight="1">
      <c r="A401" s="3" t="s">
        <v>44</v>
      </c>
      <c r="B401" s="3" t="s">
        <v>85</v>
      </c>
      <c r="C401" s="3" t="s">
        <v>85</v>
      </c>
      <c r="D401" s="3" t="s">
        <v>85</v>
      </c>
      <c r="E401" s="3" t="s">
        <v>907</v>
      </c>
      <c r="F401" s="3" t="s">
        <v>750</v>
      </c>
      <c r="G401" s="3" t="s">
        <v>750</v>
      </c>
      <c r="H401" s="3" t="s">
        <v>85</v>
      </c>
    </row>
    <row r="402" spans="1:8" ht="66" customHeight="1">
      <c r="A402" s="4" t="s">
        <v>44</v>
      </c>
      <c r="B402" s="4" t="s">
        <v>85</v>
      </c>
      <c r="C402" s="4" t="s">
        <v>85</v>
      </c>
      <c r="D402" s="4" t="s">
        <v>85</v>
      </c>
      <c r="E402" s="4" t="s">
        <v>908</v>
      </c>
      <c r="F402" s="4" t="s">
        <v>751</v>
      </c>
      <c r="G402" s="4" t="s">
        <v>751</v>
      </c>
      <c r="H402" s="4" t="s">
        <v>85</v>
      </c>
    </row>
    <row r="403" spans="1:8" ht="66" customHeight="1">
      <c r="A403" s="3" t="s">
        <v>44</v>
      </c>
      <c r="B403" s="3" t="s">
        <v>909</v>
      </c>
      <c r="C403" s="3" t="s">
        <v>537</v>
      </c>
      <c r="D403" s="3" t="s">
        <v>910</v>
      </c>
      <c r="E403" s="3" t="s">
        <v>911</v>
      </c>
      <c r="F403" s="3" t="s">
        <v>747</v>
      </c>
      <c r="G403" s="3" t="s">
        <v>747</v>
      </c>
      <c r="H403" s="3" t="s">
        <v>912</v>
      </c>
    </row>
    <row r="404" spans="1:8" ht="66" customHeight="1">
      <c r="A404" s="4" t="s">
        <v>44</v>
      </c>
      <c r="B404" s="4" t="s">
        <v>85</v>
      </c>
      <c r="C404" s="4" t="s">
        <v>85</v>
      </c>
      <c r="D404" s="4" t="s">
        <v>85</v>
      </c>
      <c r="E404" s="4" t="s">
        <v>913</v>
      </c>
      <c r="F404" s="4" t="s">
        <v>749</v>
      </c>
      <c r="G404" s="4" t="s">
        <v>749</v>
      </c>
      <c r="H404" s="4" t="s">
        <v>85</v>
      </c>
    </row>
    <row r="405" spans="1:8" ht="66" customHeight="1">
      <c r="A405" s="3" t="s">
        <v>44</v>
      </c>
      <c r="B405" s="3" t="s">
        <v>85</v>
      </c>
      <c r="C405" s="3" t="s">
        <v>85</v>
      </c>
      <c r="D405" s="3" t="s">
        <v>85</v>
      </c>
      <c r="E405" s="3" t="s">
        <v>914</v>
      </c>
      <c r="F405" s="3" t="s">
        <v>750</v>
      </c>
      <c r="G405" s="3" t="s">
        <v>750</v>
      </c>
      <c r="H405" s="3" t="s">
        <v>85</v>
      </c>
    </row>
    <row r="406" spans="1:8" ht="66" customHeight="1">
      <c r="A406" s="4" t="s">
        <v>44</v>
      </c>
      <c r="B406" s="4" t="s">
        <v>85</v>
      </c>
      <c r="C406" s="4" t="s">
        <v>85</v>
      </c>
      <c r="D406" s="4" t="s">
        <v>85</v>
      </c>
      <c r="E406" s="4" t="s">
        <v>915</v>
      </c>
      <c r="F406" s="4" t="s">
        <v>751</v>
      </c>
      <c r="G406" s="4" t="s">
        <v>751</v>
      </c>
      <c r="H406" s="4" t="s">
        <v>85</v>
      </c>
    </row>
    <row r="407" spans="1:8" ht="66" customHeight="1">
      <c r="A407" s="3" t="s">
        <v>44</v>
      </c>
      <c r="B407" s="3" t="s">
        <v>916</v>
      </c>
      <c r="C407" s="3" t="s">
        <v>537</v>
      </c>
      <c r="D407" s="3" t="s">
        <v>917</v>
      </c>
      <c r="E407" s="3" t="s">
        <v>911</v>
      </c>
      <c r="F407" s="3" t="s">
        <v>751</v>
      </c>
      <c r="G407" s="3" t="s">
        <v>751</v>
      </c>
      <c r="H407" s="3" t="s">
        <v>918</v>
      </c>
    </row>
    <row r="408" spans="1:8" ht="66" customHeight="1">
      <c r="A408" s="4" t="s">
        <v>44</v>
      </c>
      <c r="B408" s="4" t="s">
        <v>85</v>
      </c>
      <c r="C408" s="4" t="s">
        <v>85</v>
      </c>
      <c r="D408" s="4" t="s">
        <v>85</v>
      </c>
      <c r="E408" s="4" t="s">
        <v>913</v>
      </c>
      <c r="F408" s="4" t="s">
        <v>750</v>
      </c>
      <c r="G408" s="4" t="s">
        <v>750</v>
      </c>
      <c r="H408" s="4" t="s">
        <v>85</v>
      </c>
    </row>
    <row r="409" spans="1:8" ht="66" customHeight="1">
      <c r="A409" s="3" t="s">
        <v>44</v>
      </c>
      <c r="B409" s="3" t="s">
        <v>85</v>
      </c>
      <c r="C409" s="3" t="s">
        <v>85</v>
      </c>
      <c r="D409" s="3" t="s">
        <v>85</v>
      </c>
      <c r="E409" s="3" t="s">
        <v>452</v>
      </c>
      <c r="F409" s="3" t="s">
        <v>592</v>
      </c>
      <c r="G409" s="3" t="s">
        <v>592</v>
      </c>
      <c r="H409" s="3" t="s">
        <v>85</v>
      </c>
    </row>
    <row r="410" spans="1:8" ht="66" customHeight="1">
      <c r="A410" s="4" t="s">
        <v>44</v>
      </c>
      <c r="B410" s="4" t="s">
        <v>85</v>
      </c>
      <c r="C410" s="4" t="s">
        <v>85</v>
      </c>
      <c r="D410" s="4" t="s">
        <v>85</v>
      </c>
      <c r="E410" s="4" t="s">
        <v>919</v>
      </c>
      <c r="F410" s="4" t="s">
        <v>749</v>
      </c>
      <c r="G410" s="4" t="s">
        <v>749</v>
      </c>
      <c r="H410" s="4" t="s">
        <v>85</v>
      </c>
    </row>
    <row r="411" spans="1:8" ht="66" customHeight="1">
      <c r="A411" s="3" t="s">
        <v>44</v>
      </c>
      <c r="B411" s="3" t="s">
        <v>85</v>
      </c>
      <c r="C411" s="3" t="s">
        <v>85</v>
      </c>
      <c r="D411" s="3" t="s">
        <v>85</v>
      </c>
      <c r="E411" s="3" t="s">
        <v>920</v>
      </c>
      <c r="F411" s="3" t="s">
        <v>747</v>
      </c>
      <c r="G411" s="3" t="s">
        <v>747</v>
      </c>
      <c r="H411" s="3" t="s">
        <v>85</v>
      </c>
    </row>
    <row r="412" spans="1:8" ht="66" customHeight="1">
      <c r="A412" s="4" t="s">
        <v>44</v>
      </c>
      <c r="B412" s="4" t="s">
        <v>921</v>
      </c>
      <c r="C412" s="4" t="s">
        <v>537</v>
      </c>
      <c r="D412" s="4" t="s">
        <v>922</v>
      </c>
      <c r="E412" s="4" t="s">
        <v>923</v>
      </c>
      <c r="F412" s="4" t="s">
        <v>747</v>
      </c>
      <c r="G412" s="4" t="s">
        <v>747</v>
      </c>
      <c r="H412" s="4" t="s">
        <v>924</v>
      </c>
    </row>
    <row r="413" spans="1:8" ht="66" customHeight="1">
      <c r="A413" s="3" t="s">
        <v>44</v>
      </c>
      <c r="B413" s="3" t="s">
        <v>85</v>
      </c>
      <c r="C413" s="3" t="s">
        <v>85</v>
      </c>
      <c r="D413" s="3" t="s">
        <v>85</v>
      </c>
      <c r="E413" s="3" t="s">
        <v>925</v>
      </c>
      <c r="F413" s="3" t="s">
        <v>749</v>
      </c>
      <c r="G413" s="3" t="s">
        <v>749</v>
      </c>
      <c r="H413" s="3" t="s">
        <v>85</v>
      </c>
    </row>
    <row r="414" spans="1:8" ht="66" customHeight="1">
      <c r="A414" s="4" t="s">
        <v>44</v>
      </c>
      <c r="B414" s="4" t="s">
        <v>85</v>
      </c>
      <c r="C414" s="4" t="s">
        <v>85</v>
      </c>
      <c r="D414" s="4" t="s">
        <v>85</v>
      </c>
      <c r="E414" s="4" t="s">
        <v>926</v>
      </c>
      <c r="F414" s="4" t="s">
        <v>750</v>
      </c>
      <c r="G414" s="4" t="s">
        <v>750</v>
      </c>
      <c r="H414" s="4" t="s">
        <v>85</v>
      </c>
    </row>
    <row r="415" spans="1:8" ht="66" customHeight="1">
      <c r="A415" s="3" t="s">
        <v>44</v>
      </c>
      <c r="B415" s="3" t="s">
        <v>85</v>
      </c>
      <c r="C415" s="3" t="s">
        <v>85</v>
      </c>
      <c r="D415" s="3" t="s">
        <v>85</v>
      </c>
      <c r="E415" s="3" t="s">
        <v>927</v>
      </c>
      <c r="F415" s="3" t="s">
        <v>751</v>
      </c>
      <c r="G415" s="3" t="s">
        <v>751</v>
      </c>
      <c r="H415" s="3" t="s">
        <v>85</v>
      </c>
    </row>
    <row r="416" spans="1:8" ht="66" customHeight="1">
      <c r="A416" s="4" t="s">
        <v>44</v>
      </c>
      <c r="B416" s="4" t="s">
        <v>928</v>
      </c>
      <c r="C416" s="4" t="s">
        <v>537</v>
      </c>
      <c r="D416" s="4" t="s">
        <v>929</v>
      </c>
      <c r="E416" s="4" t="s">
        <v>930</v>
      </c>
      <c r="F416" s="4" t="s">
        <v>747</v>
      </c>
      <c r="G416" s="4" t="s">
        <v>747</v>
      </c>
      <c r="H416" s="4" t="s">
        <v>931</v>
      </c>
    </row>
    <row r="417" spans="1:8" ht="66" customHeight="1">
      <c r="A417" s="3" t="s">
        <v>44</v>
      </c>
      <c r="B417" s="3" t="s">
        <v>85</v>
      </c>
      <c r="C417" s="3" t="s">
        <v>85</v>
      </c>
      <c r="D417" s="3" t="s">
        <v>85</v>
      </c>
      <c r="E417" s="3" t="s">
        <v>932</v>
      </c>
      <c r="F417" s="3" t="s">
        <v>749</v>
      </c>
      <c r="G417" s="3" t="s">
        <v>749</v>
      </c>
      <c r="H417" s="3" t="s">
        <v>85</v>
      </c>
    </row>
    <row r="418" spans="1:8" ht="66" customHeight="1">
      <c r="A418" s="4" t="s">
        <v>44</v>
      </c>
      <c r="B418" s="4" t="s">
        <v>85</v>
      </c>
      <c r="C418" s="4" t="s">
        <v>85</v>
      </c>
      <c r="D418" s="4" t="s">
        <v>85</v>
      </c>
      <c r="E418" s="4" t="s">
        <v>646</v>
      </c>
      <c r="F418" s="4" t="s">
        <v>592</v>
      </c>
      <c r="G418" s="4" t="s">
        <v>592</v>
      </c>
      <c r="H418" s="4" t="s">
        <v>85</v>
      </c>
    </row>
    <row r="419" spans="1:8" ht="66" customHeight="1">
      <c r="A419" s="3" t="s">
        <v>44</v>
      </c>
      <c r="B419" s="3" t="s">
        <v>85</v>
      </c>
      <c r="C419" s="3" t="s">
        <v>85</v>
      </c>
      <c r="D419" s="3" t="s">
        <v>85</v>
      </c>
      <c r="E419" s="3" t="s">
        <v>933</v>
      </c>
      <c r="F419" s="3" t="s">
        <v>750</v>
      </c>
      <c r="G419" s="3" t="s">
        <v>750</v>
      </c>
      <c r="H419" s="3" t="s">
        <v>85</v>
      </c>
    </row>
    <row r="420" spans="1:8" ht="66" customHeight="1">
      <c r="A420" s="4" t="s">
        <v>44</v>
      </c>
      <c r="B420" s="4" t="s">
        <v>85</v>
      </c>
      <c r="C420" s="4" t="s">
        <v>85</v>
      </c>
      <c r="D420" s="4" t="s">
        <v>85</v>
      </c>
      <c r="E420" s="4" t="s">
        <v>648</v>
      </c>
      <c r="F420" s="4" t="s">
        <v>751</v>
      </c>
      <c r="G420" s="4" t="s">
        <v>751</v>
      </c>
      <c r="H420" s="4" t="s">
        <v>85</v>
      </c>
    </row>
    <row r="421" spans="1:8" ht="66" customHeight="1">
      <c r="A421" s="3" t="s">
        <v>44</v>
      </c>
      <c r="B421" s="3" t="s">
        <v>934</v>
      </c>
      <c r="C421" s="3" t="s">
        <v>537</v>
      </c>
      <c r="D421" s="3" t="s">
        <v>935</v>
      </c>
      <c r="E421" s="3" t="s">
        <v>936</v>
      </c>
      <c r="F421" s="3" t="s">
        <v>751</v>
      </c>
      <c r="G421" s="3" t="s">
        <v>751</v>
      </c>
      <c r="H421" s="3" t="s">
        <v>937</v>
      </c>
    </row>
    <row r="422" spans="1:8" ht="66" customHeight="1">
      <c r="A422" s="4" t="s">
        <v>44</v>
      </c>
      <c r="B422" s="4" t="s">
        <v>85</v>
      </c>
      <c r="C422" s="4" t="s">
        <v>85</v>
      </c>
      <c r="D422" s="4" t="s">
        <v>85</v>
      </c>
      <c r="E422" s="4" t="s">
        <v>932</v>
      </c>
      <c r="F422" s="4" t="s">
        <v>750</v>
      </c>
      <c r="G422" s="4" t="s">
        <v>750</v>
      </c>
      <c r="H422" s="4" t="s">
        <v>85</v>
      </c>
    </row>
    <row r="423" spans="1:8" ht="66" customHeight="1">
      <c r="A423" s="3" t="s">
        <v>44</v>
      </c>
      <c r="B423" s="3" t="s">
        <v>85</v>
      </c>
      <c r="C423" s="3" t="s">
        <v>85</v>
      </c>
      <c r="D423" s="3" t="s">
        <v>85</v>
      </c>
      <c r="E423" s="3" t="s">
        <v>646</v>
      </c>
      <c r="F423" s="3" t="s">
        <v>592</v>
      </c>
      <c r="G423" s="3" t="s">
        <v>592</v>
      </c>
      <c r="H423" s="3" t="s">
        <v>85</v>
      </c>
    </row>
    <row r="424" spans="1:8" ht="66" customHeight="1">
      <c r="A424" s="4" t="s">
        <v>44</v>
      </c>
      <c r="B424" s="4" t="s">
        <v>85</v>
      </c>
      <c r="C424" s="4" t="s">
        <v>85</v>
      </c>
      <c r="D424" s="4" t="s">
        <v>85</v>
      </c>
      <c r="E424" s="4" t="s">
        <v>933</v>
      </c>
      <c r="F424" s="4" t="s">
        <v>749</v>
      </c>
      <c r="G424" s="4" t="s">
        <v>749</v>
      </c>
      <c r="H424" s="4" t="s">
        <v>85</v>
      </c>
    </row>
    <row r="425" spans="1:8" ht="66" customHeight="1">
      <c r="A425" s="3" t="s">
        <v>44</v>
      </c>
      <c r="B425" s="3" t="s">
        <v>85</v>
      </c>
      <c r="C425" s="3" t="s">
        <v>85</v>
      </c>
      <c r="D425" s="3" t="s">
        <v>85</v>
      </c>
      <c r="E425" s="3" t="s">
        <v>648</v>
      </c>
      <c r="F425" s="3" t="s">
        <v>747</v>
      </c>
      <c r="G425" s="3" t="s">
        <v>747</v>
      </c>
      <c r="H425" s="3" t="s">
        <v>85</v>
      </c>
    </row>
    <row r="426" spans="1:8" ht="48" customHeight="1">
      <c r="A426" s="4" t="s">
        <v>938</v>
      </c>
      <c r="B426" s="4" t="s">
        <v>939</v>
      </c>
      <c r="C426" s="4" t="s">
        <v>537</v>
      </c>
      <c r="D426" s="4" t="s">
        <v>940</v>
      </c>
      <c r="E426" s="4" t="s">
        <v>941</v>
      </c>
      <c r="F426" s="4" t="s">
        <v>942</v>
      </c>
      <c r="G426" s="4" t="s">
        <v>942</v>
      </c>
      <c r="H426" s="4" t="s">
        <v>943</v>
      </c>
    </row>
    <row r="427" spans="1:8" ht="30" customHeight="1">
      <c r="A427" s="3" t="s">
        <v>938</v>
      </c>
      <c r="B427" s="3" t="s">
        <v>85</v>
      </c>
      <c r="C427" s="3" t="s">
        <v>85</v>
      </c>
      <c r="D427" s="3" t="s">
        <v>85</v>
      </c>
      <c r="E427" s="3" t="s">
        <v>944</v>
      </c>
      <c r="F427" s="3" t="s">
        <v>431</v>
      </c>
      <c r="G427" s="3" t="s">
        <v>431</v>
      </c>
      <c r="H427" s="3" t="s">
        <v>85</v>
      </c>
    </row>
    <row r="428" spans="1:8" ht="30" customHeight="1">
      <c r="A428" s="4" t="s">
        <v>938</v>
      </c>
      <c r="B428" s="4" t="s">
        <v>85</v>
      </c>
      <c r="C428" s="4" t="s">
        <v>85</v>
      </c>
      <c r="D428" s="4" t="s">
        <v>85</v>
      </c>
      <c r="E428" s="4" t="s">
        <v>945</v>
      </c>
      <c r="F428" s="4" t="s">
        <v>433</v>
      </c>
      <c r="G428" s="4" t="s">
        <v>433</v>
      </c>
      <c r="H428" s="4" t="s">
        <v>85</v>
      </c>
    </row>
    <row r="429" spans="1:8" ht="30" customHeight="1">
      <c r="A429" s="3" t="s">
        <v>938</v>
      </c>
      <c r="B429" s="3" t="s">
        <v>85</v>
      </c>
      <c r="C429" s="3" t="s">
        <v>85</v>
      </c>
      <c r="D429" s="3" t="s">
        <v>85</v>
      </c>
      <c r="E429" s="3" t="s">
        <v>946</v>
      </c>
      <c r="F429" s="3" t="s">
        <v>435</v>
      </c>
      <c r="G429" s="3" t="s">
        <v>435</v>
      </c>
      <c r="H429" s="3" t="s">
        <v>85</v>
      </c>
    </row>
    <row r="430" spans="1:8" ht="30" customHeight="1">
      <c r="A430" s="4" t="s">
        <v>938</v>
      </c>
      <c r="B430" s="4" t="s">
        <v>85</v>
      </c>
      <c r="C430" s="4" t="s">
        <v>85</v>
      </c>
      <c r="D430" s="4" t="s">
        <v>85</v>
      </c>
      <c r="E430" s="4" t="s">
        <v>947</v>
      </c>
      <c r="F430" s="4" t="s">
        <v>948</v>
      </c>
      <c r="G430" s="4" t="s">
        <v>948</v>
      </c>
      <c r="H430" s="4" t="s">
        <v>85</v>
      </c>
    </row>
    <row r="431" spans="1:8" ht="30" customHeight="1">
      <c r="A431" s="3" t="s">
        <v>938</v>
      </c>
      <c r="B431" s="3" t="s">
        <v>949</v>
      </c>
      <c r="C431" s="3" t="s">
        <v>537</v>
      </c>
      <c r="D431" s="3" t="s">
        <v>950</v>
      </c>
      <c r="E431" s="3" t="s">
        <v>951</v>
      </c>
      <c r="F431" s="3" t="s">
        <v>952</v>
      </c>
      <c r="G431" s="3" t="s">
        <v>952</v>
      </c>
      <c r="H431" s="3" t="s">
        <v>953</v>
      </c>
    </row>
    <row r="432" spans="1:8" ht="30" customHeight="1">
      <c r="A432" s="4" t="s">
        <v>938</v>
      </c>
      <c r="B432" s="4" t="s">
        <v>85</v>
      </c>
      <c r="C432" s="4" t="s">
        <v>85</v>
      </c>
      <c r="D432" s="4" t="s">
        <v>85</v>
      </c>
      <c r="E432" s="4" t="s">
        <v>954</v>
      </c>
      <c r="F432" s="4" t="s">
        <v>955</v>
      </c>
      <c r="G432" s="4" t="s">
        <v>955</v>
      </c>
      <c r="H432" s="4" t="s">
        <v>85</v>
      </c>
    </row>
    <row r="433" spans="1:8" ht="30" customHeight="1">
      <c r="A433" s="3" t="s">
        <v>938</v>
      </c>
      <c r="B433" s="3" t="s">
        <v>85</v>
      </c>
      <c r="C433" s="3" t="s">
        <v>85</v>
      </c>
      <c r="D433" s="3" t="s">
        <v>85</v>
      </c>
      <c r="E433" s="3" t="s">
        <v>956</v>
      </c>
      <c r="F433" s="3" t="s">
        <v>957</v>
      </c>
      <c r="G433" s="3" t="s">
        <v>957</v>
      </c>
      <c r="H433" s="3" t="s">
        <v>85</v>
      </c>
    </row>
    <row r="434" spans="1:8" ht="30" customHeight="1">
      <c r="A434" s="4" t="s">
        <v>938</v>
      </c>
      <c r="B434" s="4" t="s">
        <v>85</v>
      </c>
      <c r="C434" s="4" t="s">
        <v>85</v>
      </c>
      <c r="D434" s="4" t="s">
        <v>85</v>
      </c>
      <c r="E434" s="4" t="s">
        <v>958</v>
      </c>
      <c r="F434" s="4" t="s">
        <v>959</v>
      </c>
      <c r="G434" s="4" t="s">
        <v>959</v>
      </c>
      <c r="H434" s="4" t="s">
        <v>85</v>
      </c>
    </row>
    <row r="435" spans="1:8" ht="30" customHeight="1">
      <c r="A435" s="3" t="s">
        <v>938</v>
      </c>
      <c r="B435" s="3" t="s">
        <v>960</v>
      </c>
      <c r="C435" s="3" t="s">
        <v>537</v>
      </c>
      <c r="D435" s="3" t="s">
        <v>961</v>
      </c>
      <c r="E435" s="3" t="s">
        <v>962</v>
      </c>
      <c r="F435" s="3" t="s">
        <v>963</v>
      </c>
      <c r="G435" s="3" t="s">
        <v>963</v>
      </c>
      <c r="H435" s="3" t="s">
        <v>964</v>
      </c>
    </row>
    <row r="436" spans="1:8" ht="30" customHeight="1">
      <c r="A436" s="4" t="s">
        <v>938</v>
      </c>
      <c r="B436" s="4" t="s">
        <v>85</v>
      </c>
      <c r="C436" s="4" t="s">
        <v>85</v>
      </c>
      <c r="D436" s="4" t="s">
        <v>85</v>
      </c>
      <c r="E436" s="4" t="s">
        <v>965</v>
      </c>
      <c r="F436" s="4" t="s">
        <v>966</v>
      </c>
      <c r="G436" s="4" t="s">
        <v>966</v>
      </c>
      <c r="H436" s="4" t="s">
        <v>85</v>
      </c>
    </row>
    <row r="437" spans="1:8" ht="30" customHeight="1">
      <c r="A437" s="3" t="s">
        <v>938</v>
      </c>
      <c r="B437" s="3" t="s">
        <v>85</v>
      </c>
      <c r="C437" s="3" t="s">
        <v>85</v>
      </c>
      <c r="D437" s="3" t="s">
        <v>85</v>
      </c>
      <c r="E437" s="3" t="s">
        <v>967</v>
      </c>
      <c r="F437" s="3" t="s">
        <v>968</v>
      </c>
      <c r="G437" s="3" t="s">
        <v>968</v>
      </c>
      <c r="H437" s="3" t="s">
        <v>85</v>
      </c>
    </row>
    <row r="438" spans="1:8" ht="30" customHeight="1">
      <c r="A438" s="4" t="s">
        <v>938</v>
      </c>
      <c r="B438" s="4" t="s">
        <v>85</v>
      </c>
      <c r="C438" s="4" t="s">
        <v>85</v>
      </c>
      <c r="D438" s="4" t="s">
        <v>85</v>
      </c>
      <c r="E438" s="4" t="s">
        <v>969</v>
      </c>
      <c r="F438" s="4" t="s">
        <v>970</v>
      </c>
      <c r="G438" s="4" t="s">
        <v>970</v>
      </c>
      <c r="H438" s="4" t="s">
        <v>85</v>
      </c>
    </row>
    <row r="439" spans="1:8" ht="66" customHeight="1">
      <c r="A439" s="3" t="s">
        <v>938</v>
      </c>
      <c r="B439" s="3" t="s">
        <v>971</v>
      </c>
      <c r="C439" s="3" t="s">
        <v>537</v>
      </c>
      <c r="D439" s="3" t="s">
        <v>972</v>
      </c>
      <c r="E439" s="3" t="s">
        <v>973</v>
      </c>
      <c r="F439" s="3" t="s">
        <v>468</v>
      </c>
      <c r="G439" s="3" t="s">
        <v>468</v>
      </c>
      <c r="H439" s="3" t="s">
        <v>974</v>
      </c>
    </row>
    <row r="440" spans="1:8" ht="30" customHeight="1">
      <c r="A440" s="4" t="s">
        <v>938</v>
      </c>
      <c r="B440" s="4" t="s">
        <v>85</v>
      </c>
      <c r="C440" s="4" t="s">
        <v>85</v>
      </c>
      <c r="D440" s="4" t="s">
        <v>85</v>
      </c>
      <c r="E440" s="4" t="s">
        <v>975</v>
      </c>
      <c r="F440" s="4" t="s">
        <v>470</v>
      </c>
      <c r="G440" s="4" t="s">
        <v>470</v>
      </c>
      <c r="H440" s="4" t="s">
        <v>85</v>
      </c>
    </row>
    <row r="441" spans="1:8" ht="30" customHeight="1">
      <c r="A441" s="3" t="s">
        <v>938</v>
      </c>
      <c r="B441" s="3" t="s">
        <v>85</v>
      </c>
      <c r="C441" s="3" t="s">
        <v>85</v>
      </c>
      <c r="D441" s="3" t="s">
        <v>85</v>
      </c>
      <c r="E441" s="3" t="s">
        <v>976</v>
      </c>
      <c r="F441" s="3" t="s">
        <v>623</v>
      </c>
      <c r="G441" s="3" t="s">
        <v>623</v>
      </c>
      <c r="H441" s="3" t="s">
        <v>85</v>
      </c>
    </row>
    <row r="442" spans="1:8" ht="30" customHeight="1">
      <c r="A442" s="4" t="s">
        <v>938</v>
      </c>
      <c r="B442" s="4" t="s">
        <v>977</v>
      </c>
      <c r="C442" s="4" t="s">
        <v>537</v>
      </c>
      <c r="D442" s="4" t="s">
        <v>978</v>
      </c>
      <c r="E442" s="4" t="s">
        <v>979</v>
      </c>
      <c r="F442" s="4" t="s">
        <v>980</v>
      </c>
      <c r="G442" s="4" t="s">
        <v>980</v>
      </c>
      <c r="H442" s="4" t="s">
        <v>981</v>
      </c>
    </row>
    <row r="443" spans="1:8" ht="30" customHeight="1">
      <c r="A443" s="3" t="s">
        <v>938</v>
      </c>
      <c r="B443" s="3" t="s">
        <v>85</v>
      </c>
      <c r="C443" s="3" t="s">
        <v>85</v>
      </c>
      <c r="D443" s="3" t="s">
        <v>85</v>
      </c>
      <c r="E443" s="3" t="s">
        <v>640</v>
      </c>
      <c r="F443" s="3" t="s">
        <v>982</v>
      </c>
      <c r="G443" s="3" t="s">
        <v>982</v>
      </c>
      <c r="H443" s="3" t="s">
        <v>85</v>
      </c>
    </row>
    <row r="444" spans="1:8" ht="30" customHeight="1">
      <c r="A444" s="4" t="s">
        <v>938</v>
      </c>
      <c r="B444" s="4" t="s">
        <v>85</v>
      </c>
      <c r="C444" s="4" t="s">
        <v>85</v>
      </c>
      <c r="D444" s="4" t="s">
        <v>85</v>
      </c>
      <c r="E444" s="4" t="s">
        <v>639</v>
      </c>
      <c r="F444" s="4" t="s">
        <v>592</v>
      </c>
      <c r="G444" s="4" t="s">
        <v>592</v>
      </c>
      <c r="H444" s="4" t="s">
        <v>85</v>
      </c>
    </row>
    <row r="445" spans="1:8" ht="30" customHeight="1">
      <c r="A445" s="3" t="s">
        <v>938</v>
      </c>
      <c r="B445" s="3" t="s">
        <v>85</v>
      </c>
      <c r="C445" s="3" t="s">
        <v>85</v>
      </c>
      <c r="D445" s="3" t="s">
        <v>85</v>
      </c>
      <c r="E445" s="3" t="s">
        <v>638</v>
      </c>
      <c r="F445" s="3" t="s">
        <v>983</v>
      </c>
      <c r="G445" s="3" t="s">
        <v>983</v>
      </c>
      <c r="H445" s="3" t="s">
        <v>85</v>
      </c>
    </row>
    <row r="446" spans="1:8" ht="30" customHeight="1">
      <c r="A446" s="4" t="s">
        <v>938</v>
      </c>
      <c r="B446" s="4" t="s">
        <v>85</v>
      </c>
      <c r="C446" s="4" t="s">
        <v>85</v>
      </c>
      <c r="D446" s="4" t="s">
        <v>85</v>
      </c>
      <c r="E446" s="4" t="s">
        <v>984</v>
      </c>
      <c r="F446" s="4" t="s">
        <v>985</v>
      </c>
      <c r="G446" s="4" t="s">
        <v>985</v>
      </c>
      <c r="H446" s="4" t="s">
        <v>85</v>
      </c>
    </row>
    <row r="447" spans="1:8" ht="48" customHeight="1">
      <c r="A447" s="3" t="s">
        <v>938</v>
      </c>
      <c r="B447" s="3" t="s">
        <v>986</v>
      </c>
      <c r="C447" s="3" t="s">
        <v>537</v>
      </c>
      <c r="D447" s="3" t="s">
        <v>987</v>
      </c>
      <c r="E447" s="3" t="s">
        <v>988</v>
      </c>
      <c r="F447" s="3" t="s">
        <v>989</v>
      </c>
      <c r="G447" s="3" t="s">
        <v>989</v>
      </c>
      <c r="H447" s="3" t="s">
        <v>990</v>
      </c>
    </row>
    <row r="448" spans="1:8" ht="30" customHeight="1">
      <c r="A448" s="4" t="s">
        <v>938</v>
      </c>
      <c r="B448" s="4" t="s">
        <v>85</v>
      </c>
      <c r="C448" s="4" t="s">
        <v>85</v>
      </c>
      <c r="D448" s="4" t="s">
        <v>85</v>
      </c>
      <c r="E448" s="4" t="s">
        <v>640</v>
      </c>
      <c r="F448" s="4" t="s">
        <v>991</v>
      </c>
      <c r="G448" s="4" t="s">
        <v>991</v>
      </c>
      <c r="H448" s="4" t="s">
        <v>85</v>
      </c>
    </row>
    <row r="449" spans="1:8" ht="30" customHeight="1">
      <c r="A449" s="3" t="s">
        <v>938</v>
      </c>
      <c r="B449" s="3" t="s">
        <v>85</v>
      </c>
      <c r="C449" s="3" t="s">
        <v>85</v>
      </c>
      <c r="D449" s="3" t="s">
        <v>85</v>
      </c>
      <c r="E449" s="3" t="s">
        <v>639</v>
      </c>
      <c r="F449" s="3" t="s">
        <v>592</v>
      </c>
      <c r="G449" s="3" t="s">
        <v>592</v>
      </c>
      <c r="H449" s="3" t="s">
        <v>85</v>
      </c>
    </row>
    <row r="450" spans="1:8" ht="30" customHeight="1">
      <c r="A450" s="4" t="s">
        <v>938</v>
      </c>
      <c r="B450" s="4" t="s">
        <v>85</v>
      </c>
      <c r="C450" s="4" t="s">
        <v>85</v>
      </c>
      <c r="D450" s="4" t="s">
        <v>85</v>
      </c>
      <c r="E450" s="4" t="s">
        <v>638</v>
      </c>
      <c r="F450" s="4" t="s">
        <v>992</v>
      </c>
      <c r="G450" s="4" t="s">
        <v>992</v>
      </c>
      <c r="H450" s="4" t="s">
        <v>85</v>
      </c>
    </row>
    <row r="451" spans="1:8" ht="30" customHeight="1">
      <c r="A451" s="3" t="s">
        <v>938</v>
      </c>
      <c r="B451" s="3" t="s">
        <v>85</v>
      </c>
      <c r="C451" s="3" t="s">
        <v>85</v>
      </c>
      <c r="D451" s="3" t="s">
        <v>85</v>
      </c>
      <c r="E451" s="3" t="s">
        <v>993</v>
      </c>
      <c r="F451" s="3" t="s">
        <v>994</v>
      </c>
      <c r="G451" s="3" t="s">
        <v>994</v>
      </c>
      <c r="H451" s="3" t="s">
        <v>85</v>
      </c>
    </row>
    <row r="452" spans="1:8" ht="48" customHeight="1">
      <c r="A452" s="4" t="s">
        <v>938</v>
      </c>
      <c r="B452" s="4" t="s">
        <v>995</v>
      </c>
      <c r="C452" s="4" t="s">
        <v>537</v>
      </c>
      <c r="D452" s="4" t="s">
        <v>996</v>
      </c>
      <c r="E452" s="4" t="s">
        <v>997</v>
      </c>
      <c r="F452" s="4" t="s">
        <v>998</v>
      </c>
      <c r="G452" s="4" t="s">
        <v>998</v>
      </c>
      <c r="H452" s="4" t="s">
        <v>999</v>
      </c>
    </row>
    <row r="453" spans="1:8" ht="30" customHeight="1">
      <c r="A453" s="3" t="s">
        <v>938</v>
      </c>
      <c r="B453" s="3" t="s">
        <v>85</v>
      </c>
      <c r="C453" s="3" t="s">
        <v>85</v>
      </c>
      <c r="D453" s="3" t="s">
        <v>85</v>
      </c>
      <c r="E453" s="3" t="s">
        <v>1000</v>
      </c>
      <c r="F453" s="3" t="s">
        <v>1001</v>
      </c>
      <c r="G453" s="3" t="s">
        <v>1001</v>
      </c>
      <c r="H453" s="3" t="s">
        <v>85</v>
      </c>
    </row>
    <row r="454" spans="1:8" ht="30" customHeight="1">
      <c r="A454" s="4" t="s">
        <v>938</v>
      </c>
      <c r="B454" s="4" t="s">
        <v>85</v>
      </c>
      <c r="C454" s="4" t="s">
        <v>85</v>
      </c>
      <c r="D454" s="4" t="s">
        <v>85</v>
      </c>
      <c r="E454" s="4" t="s">
        <v>1002</v>
      </c>
      <c r="F454" s="4" t="s">
        <v>1003</v>
      </c>
      <c r="G454" s="4" t="s">
        <v>1003</v>
      </c>
      <c r="H454" s="4" t="s">
        <v>85</v>
      </c>
    </row>
    <row r="455" spans="1:8" ht="30" customHeight="1">
      <c r="A455" s="3" t="s">
        <v>938</v>
      </c>
      <c r="B455" s="3" t="s">
        <v>85</v>
      </c>
      <c r="C455" s="3" t="s">
        <v>85</v>
      </c>
      <c r="D455" s="3" t="s">
        <v>85</v>
      </c>
      <c r="E455" s="3" t="s">
        <v>1004</v>
      </c>
      <c r="F455" s="3" t="s">
        <v>1005</v>
      </c>
      <c r="G455" s="3" t="s">
        <v>1005</v>
      </c>
      <c r="H455" s="3" t="s">
        <v>85</v>
      </c>
    </row>
    <row r="456" spans="1:8" ht="30" customHeight="1">
      <c r="A456" s="4" t="s">
        <v>938</v>
      </c>
      <c r="B456" s="4" t="s">
        <v>85</v>
      </c>
      <c r="C456" s="4" t="s">
        <v>85</v>
      </c>
      <c r="D456" s="4" t="s">
        <v>85</v>
      </c>
      <c r="E456" s="4" t="s">
        <v>1006</v>
      </c>
      <c r="F456" s="4" t="s">
        <v>1007</v>
      </c>
      <c r="G456" s="4" t="s">
        <v>1007</v>
      </c>
      <c r="H456" s="4" t="s">
        <v>85</v>
      </c>
    </row>
    <row r="457" spans="1:8" ht="48" customHeight="1">
      <c r="A457" s="3" t="s">
        <v>938</v>
      </c>
      <c r="B457" s="3" t="s">
        <v>1008</v>
      </c>
      <c r="C457" s="3" t="s">
        <v>537</v>
      </c>
      <c r="D457" s="3" t="s">
        <v>1009</v>
      </c>
      <c r="E457" s="3" t="s">
        <v>1010</v>
      </c>
      <c r="F457" s="3" t="s">
        <v>1011</v>
      </c>
      <c r="G457" s="3" t="s">
        <v>1011</v>
      </c>
      <c r="H457" s="3" t="s">
        <v>1012</v>
      </c>
    </row>
    <row r="458" spans="1:8" ht="30" customHeight="1">
      <c r="A458" s="4" t="s">
        <v>938</v>
      </c>
      <c r="B458" s="4" t="s">
        <v>85</v>
      </c>
      <c r="C458" s="4" t="s">
        <v>85</v>
      </c>
      <c r="D458" s="4" t="s">
        <v>85</v>
      </c>
      <c r="E458" s="4" t="s">
        <v>1013</v>
      </c>
      <c r="F458" s="4" t="s">
        <v>1014</v>
      </c>
      <c r="G458" s="4" t="s">
        <v>1014</v>
      </c>
      <c r="H458" s="4" t="s">
        <v>85</v>
      </c>
    </row>
    <row r="459" spans="1:8" ht="30" customHeight="1">
      <c r="A459" s="3" t="s">
        <v>938</v>
      </c>
      <c r="B459" s="3" t="s">
        <v>85</v>
      </c>
      <c r="C459" s="3" t="s">
        <v>85</v>
      </c>
      <c r="D459" s="3" t="s">
        <v>85</v>
      </c>
      <c r="E459" s="3" t="s">
        <v>1015</v>
      </c>
      <c r="F459" s="3" t="s">
        <v>1016</v>
      </c>
      <c r="G459" s="3" t="s">
        <v>1016</v>
      </c>
      <c r="H459" s="3" t="s">
        <v>85</v>
      </c>
    </row>
    <row r="460" spans="1:8" ht="30" customHeight="1">
      <c r="A460" s="4" t="s">
        <v>938</v>
      </c>
      <c r="B460" s="4" t="s">
        <v>85</v>
      </c>
      <c r="C460" s="4" t="s">
        <v>85</v>
      </c>
      <c r="D460" s="4" t="s">
        <v>85</v>
      </c>
      <c r="E460" s="4" t="s">
        <v>1017</v>
      </c>
      <c r="F460" s="4" t="s">
        <v>1018</v>
      </c>
      <c r="G460" s="4" t="s">
        <v>1018</v>
      </c>
      <c r="H460" s="4" t="s">
        <v>85</v>
      </c>
    </row>
    <row r="461" spans="1:8" ht="48" customHeight="1">
      <c r="A461" s="3" t="s">
        <v>938</v>
      </c>
      <c r="B461" s="3" t="s">
        <v>1019</v>
      </c>
      <c r="C461" s="3" t="s">
        <v>537</v>
      </c>
      <c r="D461" s="3" t="s">
        <v>1020</v>
      </c>
      <c r="E461" s="3" t="s">
        <v>854</v>
      </c>
      <c r="F461" s="3" t="s">
        <v>1001</v>
      </c>
      <c r="G461" s="3" t="s">
        <v>1001</v>
      </c>
      <c r="H461" s="3" t="s">
        <v>1021</v>
      </c>
    </row>
    <row r="462" spans="1:8" ht="30" customHeight="1">
      <c r="A462" s="4" t="s">
        <v>938</v>
      </c>
      <c r="B462" s="4" t="s">
        <v>85</v>
      </c>
      <c r="C462" s="4" t="s">
        <v>85</v>
      </c>
      <c r="D462" s="4" t="s">
        <v>85</v>
      </c>
      <c r="E462" s="4" t="s">
        <v>855</v>
      </c>
      <c r="F462" s="4" t="s">
        <v>1003</v>
      </c>
      <c r="G462" s="4" t="s">
        <v>1003</v>
      </c>
      <c r="H462" s="4" t="s">
        <v>85</v>
      </c>
    </row>
    <row r="463" spans="1:8" ht="30" customHeight="1">
      <c r="A463" s="3" t="s">
        <v>938</v>
      </c>
      <c r="B463" s="3" t="s">
        <v>85</v>
      </c>
      <c r="C463" s="3" t="s">
        <v>85</v>
      </c>
      <c r="D463" s="3" t="s">
        <v>85</v>
      </c>
      <c r="E463" s="3" t="s">
        <v>856</v>
      </c>
      <c r="F463" s="3" t="s">
        <v>1005</v>
      </c>
      <c r="G463" s="3" t="s">
        <v>1005</v>
      </c>
      <c r="H463" s="3" t="s">
        <v>85</v>
      </c>
    </row>
    <row r="464" spans="1:8" ht="30" customHeight="1">
      <c r="A464" s="4" t="s">
        <v>938</v>
      </c>
      <c r="B464" s="4" t="s">
        <v>85</v>
      </c>
      <c r="C464" s="4" t="s">
        <v>85</v>
      </c>
      <c r="D464" s="4" t="s">
        <v>85</v>
      </c>
      <c r="E464" s="4" t="s">
        <v>858</v>
      </c>
      <c r="F464" s="4" t="s">
        <v>1022</v>
      </c>
      <c r="G464" s="4" t="s">
        <v>1022</v>
      </c>
      <c r="H464" s="4" t="s">
        <v>85</v>
      </c>
    </row>
    <row r="465" spans="1:8" ht="48" customHeight="1">
      <c r="A465" s="3" t="s">
        <v>938</v>
      </c>
      <c r="B465" s="3" t="s">
        <v>1023</v>
      </c>
      <c r="C465" s="3" t="s">
        <v>537</v>
      </c>
      <c r="D465" s="3" t="s">
        <v>1024</v>
      </c>
      <c r="E465" s="3" t="s">
        <v>1025</v>
      </c>
      <c r="F465" s="3" t="s">
        <v>1026</v>
      </c>
      <c r="G465" s="3" t="s">
        <v>1026</v>
      </c>
      <c r="H465" s="3" t="s">
        <v>1027</v>
      </c>
    </row>
    <row r="466" spans="1:8" ht="30" customHeight="1">
      <c r="A466" s="4" t="s">
        <v>938</v>
      </c>
      <c r="B466" s="4" t="s">
        <v>85</v>
      </c>
      <c r="C466" s="4" t="s">
        <v>85</v>
      </c>
      <c r="D466" s="4" t="s">
        <v>85</v>
      </c>
      <c r="E466" s="4" t="s">
        <v>1028</v>
      </c>
      <c r="F466" s="4" t="s">
        <v>1029</v>
      </c>
      <c r="G466" s="4" t="s">
        <v>1029</v>
      </c>
      <c r="H466" s="4" t="s">
        <v>85</v>
      </c>
    </row>
    <row r="467" spans="1:8" ht="30" customHeight="1">
      <c r="A467" s="3" t="s">
        <v>938</v>
      </c>
      <c r="B467" s="3" t="s">
        <v>85</v>
      </c>
      <c r="C467" s="3" t="s">
        <v>85</v>
      </c>
      <c r="D467" s="3" t="s">
        <v>85</v>
      </c>
      <c r="E467" s="3" t="s">
        <v>1030</v>
      </c>
      <c r="F467" s="3" t="s">
        <v>1031</v>
      </c>
      <c r="G467" s="3" t="s">
        <v>1031</v>
      </c>
      <c r="H467" s="3" t="s">
        <v>85</v>
      </c>
    </row>
    <row r="468" spans="1:8" ht="30" customHeight="1">
      <c r="A468" s="4" t="s">
        <v>938</v>
      </c>
      <c r="B468" s="4" t="s">
        <v>85</v>
      </c>
      <c r="C468" s="4" t="s">
        <v>85</v>
      </c>
      <c r="D468" s="4" t="s">
        <v>85</v>
      </c>
      <c r="E468" s="4" t="s">
        <v>1032</v>
      </c>
      <c r="F468" s="4" t="s">
        <v>1033</v>
      </c>
      <c r="G468" s="4" t="s">
        <v>1033</v>
      </c>
      <c r="H468" s="4" t="s">
        <v>85</v>
      </c>
    </row>
    <row r="469" spans="1:8" ht="30" customHeight="1">
      <c r="A469" s="3" t="s">
        <v>938</v>
      </c>
      <c r="B469" s="3" t="s">
        <v>85</v>
      </c>
      <c r="C469" s="3" t="s">
        <v>85</v>
      </c>
      <c r="D469" s="3" t="s">
        <v>85</v>
      </c>
      <c r="E469" s="3" t="s">
        <v>1034</v>
      </c>
      <c r="F469" s="3" t="s">
        <v>1035</v>
      </c>
      <c r="G469" s="3" t="s">
        <v>1035</v>
      </c>
      <c r="H469" s="3" t="s">
        <v>85</v>
      </c>
    </row>
    <row r="470" spans="1:8" ht="48" customHeight="1">
      <c r="A470" s="4" t="s">
        <v>938</v>
      </c>
      <c r="B470" s="4" t="s">
        <v>1036</v>
      </c>
      <c r="C470" s="4" t="s">
        <v>537</v>
      </c>
      <c r="D470" s="4" t="s">
        <v>1037</v>
      </c>
      <c r="E470" s="4" t="s">
        <v>1038</v>
      </c>
      <c r="F470" s="4" t="s">
        <v>1039</v>
      </c>
      <c r="G470" s="4" t="s">
        <v>1039</v>
      </c>
      <c r="H470" s="4" t="s">
        <v>1040</v>
      </c>
    </row>
    <row r="471" spans="1:8" ht="30" customHeight="1">
      <c r="A471" s="3" t="s">
        <v>938</v>
      </c>
      <c r="B471" s="3" t="s">
        <v>85</v>
      </c>
      <c r="C471" s="3" t="s">
        <v>85</v>
      </c>
      <c r="D471" s="3" t="s">
        <v>85</v>
      </c>
      <c r="E471" s="3" t="s">
        <v>1041</v>
      </c>
      <c r="F471" s="3" t="s">
        <v>1029</v>
      </c>
      <c r="G471" s="3" t="s">
        <v>1029</v>
      </c>
      <c r="H471" s="3" t="s">
        <v>85</v>
      </c>
    </row>
    <row r="472" spans="1:8" ht="30" customHeight="1">
      <c r="A472" s="4" t="s">
        <v>938</v>
      </c>
      <c r="B472" s="4" t="s">
        <v>85</v>
      </c>
      <c r="C472" s="4" t="s">
        <v>85</v>
      </c>
      <c r="D472" s="4" t="s">
        <v>85</v>
      </c>
      <c r="E472" s="4" t="s">
        <v>1042</v>
      </c>
      <c r="F472" s="4" t="s">
        <v>1031</v>
      </c>
      <c r="G472" s="4" t="s">
        <v>1031</v>
      </c>
      <c r="H472" s="4" t="s">
        <v>85</v>
      </c>
    </row>
    <row r="473" spans="1:8" ht="30" customHeight="1">
      <c r="A473" s="3" t="s">
        <v>938</v>
      </c>
      <c r="B473" s="3" t="s">
        <v>85</v>
      </c>
      <c r="C473" s="3" t="s">
        <v>85</v>
      </c>
      <c r="D473" s="3" t="s">
        <v>85</v>
      </c>
      <c r="E473" s="3" t="s">
        <v>1043</v>
      </c>
      <c r="F473" s="3" t="s">
        <v>1033</v>
      </c>
      <c r="G473" s="3" t="s">
        <v>1033</v>
      </c>
      <c r="H473" s="3" t="s">
        <v>85</v>
      </c>
    </row>
    <row r="474" spans="1:8" ht="30" customHeight="1">
      <c r="A474" s="4" t="s">
        <v>938</v>
      </c>
      <c r="B474" s="4" t="s">
        <v>85</v>
      </c>
      <c r="C474" s="4" t="s">
        <v>85</v>
      </c>
      <c r="D474" s="4" t="s">
        <v>85</v>
      </c>
      <c r="E474" s="4" t="s">
        <v>1044</v>
      </c>
      <c r="F474" s="4" t="s">
        <v>1045</v>
      </c>
      <c r="G474" s="4" t="s">
        <v>1045</v>
      </c>
      <c r="H474" s="4" t="s">
        <v>85</v>
      </c>
    </row>
    <row r="475" spans="1:8" ht="30" customHeight="1">
      <c r="A475" s="3" t="s">
        <v>938</v>
      </c>
      <c r="B475" s="3" t="s">
        <v>1046</v>
      </c>
      <c r="C475" s="3" t="s">
        <v>537</v>
      </c>
      <c r="D475" s="3" t="s">
        <v>1047</v>
      </c>
      <c r="E475" s="3" t="s">
        <v>1048</v>
      </c>
      <c r="F475" s="3" t="s">
        <v>1049</v>
      </c>
      <c r="G475" s="3" t="s">
        <v>1049</v>
      </c>
      <c r="H475" s="3" t="s">
        <v>1050</v>
      </c>
    </row>
    <row r="476" spans="1:8" ht="30" customHeight="1">
      <c r="A476" s="4" t="s">
        <v>938</v>
      </c>
      <c r="B476" s="4" t="s">
        <v>85</v>
      </c>
      <c r="C476" s="4" t="s">
        <v>85</v>
      </c>
      <c r="D476" s="4" t="s">
        <v>85</v>
      </c>
      <c r="E476" s="4" t="s">
        <v>1051</v>
      </c>
      <c r="F476" s="4" t="s">
        <v>1052</v>
      </c>
      <c r="G476" s="4" t="s">
        <v>1052</v>
      </c>
      <c r="H476" s="4" t="s">
        <v>85</v>
      </c>
    </row>
    <row r="477" spans="1:8" ht="30" customHeight="1">
      <c r="A477" s="3" t="s">
        <v>938</v>
      </c>
      <c r="B477" s="3" t="s">
        <v>85</v>
      </c>
      <c r="C477" s="3" t="s">
        <v>85</v>
      </c>
      <c r="D477" s="3" t="s">
        <v>85</v>
      </c>
      <c r="E477" s="3" t="s">
        <v>1053</v>
      </c>
      <c r="F477" s="3" t="s">
        <v>1054</v>
      </c>
      <c r="G477" s="3" t="s">
        <v>1054</v>
      </c>
      <c r="H477" s="3" t="s">
        <v>85</v>
      </c>
    </row>
    <row r="478" spans="1:8" ht="30" customHeight="1">
      <c r="A478" s="4" t="s">
        <v>938</v>
      </c>
      <c r="B478" s="4" t="s">
        <v>85</v>
      </c>
      <c r="C478" s="4" t="s">
        <v>85</v>
      </c>
      <c r="D478" s="4" t="s">
        <v>85</v>
      </c>
      <c r="E478" s="4" t="s">
        <v>1055</v>
      </c>
      <c r="F478" s="4" t="s">
        <v>1056</v>
      </c>
      <c r="G478" s="4" t="s">
        <v>1056</v>
      </c>
      <c r="H478" s="4" t="s">
        <v>85</v>
      </c>
    </row>
    <row r="479" spans="1:8" ht="30" customHeight="1">
      <c r="A479" s="3" t="s">
        <v>938</v>
      </c>
      <c r="B479" s="3" t="s">
        <v>85</v>
      </c>
      <c r="C479" s="3" t="s">
        <v>85</v>
      </c>
      <c r="D479" s="3" t="s">
        <v>85</v>
      </c>
      <c r="E479" s="3" t="s">
        <v>1057</v>
      </c>
      <c r="F479" s="3" t="s">
        <v>1058</v>
      </c>
      <c r="G479" s="3" t="s">
        <v>1058</v>
      </c>
      <c r="H479" s="3" t="s">
        <v>85</v>
      </c>
    </row>
    <row r="480" spans="1:8" ht="48" customHeight="1">
      <c r="A480" s="4" t="s">
        <v>938</v>
      </c>
      <c r="B480" s="4" t="s">
        <v>1059</v>
      </c>
      <c r="C480" s="4" t="s">
        <v>537</v>
      </c>
      <c r="D480" s="4" t="s">
        <v>1060</v>
      </c>
      <c r="E480" s="4" t="s">
        <v>1061</v>
      </c>
      <c r="F480" s="4" t="s">
        <v>468</v>
      </c>
      <c r="G480" s="4" t="s">
        <v>468</v>
      </c>
      <c r="H480" s="4" t="s">
        <v>1062</v>
      </c>
    </row>
    <row r="481" spans="1:8" ht="30" customHeight="1">
      <c r="A481" s="3" t="s">
        <v>938</v>
      </c>
      <c r="B481" s="3" t="s">
        <v>85</v>
      </c>
      <c r="C481" s="3" t="s">
        <v>85</v>
      </c>
      <c r="D481" s="3" t="s">
        <v>85</v>
      </c>
      <c r="E481" s="3" t="s">
        <v>1063</v>
      </c>
      <c r="F481" s="3" t="s">
        <v>470</v>
      </c>
      <c r="G481" s="3" t="s">
        <v>470</v>
      </c>
      <c r="H481" s="3" t="s">
        <v>85</v>
      </c>
    </row>
    <row r="482" spans="1:8" ht="30" customHeight="1">
      <c r="A482" s="4" t="s">
        <v>938</v>
      </c>
      <c r="B482" s="4" t="s">
        <v>85</v>
      </c>
      <c r="C482" s="4" t="s">
        <v>85</v>
      </c>
      <c r="D482" s="4" t="s">
        <v>85</v>
      </c>
      <c r="E482" s="4" t="s">
        <v>1064</v>
      </c>
      <c r="F482" s="4" t="s">
        <v>623</v>
      </c>
      <c r="G482" s="4" t="s">
        <v>623</v>
      </c>
      <c r="H482" s="4" t="s">
        <v>85</v>
      </c>
    </row>
    <row r="483" spans="1:8" ht="48" customHeight="1">
      <c r="A483" s="3" t="s">
        <v>938</v>
      </c>
      <c r="B483" s="3" t="s">
        <v>1065</v>
      </c>
      <c r="C483" s="3" t="s">
        <v>537</v>
      </c>
      <c r="D483" s="3" t="s">
        <v>1066</v>
      </c>
      <c r="E483" s="3" t="s">
        <v>865</v>
      </c>
      <c r="F483" s="3" t="s">
        <v>468</v>
      </c>
      <c r="G483" s="3" t="s">
        <v>468</v>
      </c>
      <c r="H483" s="3" t="s">
        <v>1067</v>
      </c>
    </row>
    <row r="484" spans="1:8" ht="30" customHeight="1">
      <c r="A484" s="4" t="s">
        <v>938</v>
      </c>
      <c r="B484" s="4" t="s">
        <v>85</v>
      </c>
      <c r="C484" s="4" t="s">
        <v>85</v>
      </c>
      <c r="D484" s="4" t="s">
        <v>85</v>
      </c>
      <c r="E484" s="4" t="s">
        <v>867</v>
      </c>
      <c r="F484" s="4" t="s">
        <v>470</v>
      </c>
      <c r="G484" s="4" t="s">
        <v>470</v>
      </c>
      <c r="H484" s="4" t="s">
        <v>85</v>
      </c>
    </row>
    <row r="485" spans="1:8" ht="30" customHeight="1">
      <c r="A485" s="3" t="s">
        <v>938</v>
      </c>
      <c r="B485" s="3" t="s">
        <v>85</v>
      </c>
      <c r="C485" s="3" t="s">
        <v>85</v>
      </c>
      <c r="D485" s="3" t="s">
        <v>85</v>
      </c>
      <c r="E485" s="3" t="s">
        <v>868</v>
      </c>
      <c r="F485" s="3" t="s">
        <v>623</v>
      </c>
      <c r="G485" s="3" t="s">
        <v>623</v>
      </c>
      <c r="H485" s="3" t="s">
        <v>85</v>
      </c>
    </row>
    <row r="486" spans="1:8" ht="48" customHeight="1">
      <c r="A486" s="4" t="s">
        <v>938</v>
      </c>
      <c r="B486" s="4" t="s">
        <v>1068</v>
      </c>
      <c r="C486" s="4" t="s">
        <v>537</v>
      </c>
      <c r="D486" s="4" t="s">
        <v>1069</v>
      </c>
      <c r="E486" s="4" t="s">
        <v>238</v>
      </c>
      <c r="F486" s="4" t="s">
        <v>1070</v>
      </c>
      <c r="G486" s="4" t="s">
        <v>1070</v>
      </c>
      <c r="H486" s="4" t="s">
        <v>1071</v>
      </c>
    </row>
    <row r="487" spans="1:8" ht="30" customHeight="1">
      <c r="A487" s="3" t="s">
        <v>938</v>
      </c>
      <c r="B487" s="3" t="s">
        <v>85</v>
      </c>
      <c r="C487" s="3" t="s">
        <v>85</v>
      </c>
      <c r="D487" s="3" t="s">
        <v>85</v>
      </c>
      <c r="E487" s="3" t="s">
        <v>240</v>
      </c>
      <c r="F487" s="3" t="s">
        <v>1072</v>
      </c>
      <c r="G487" s="3" t="s">
        <v>1072</v>
      </c>
      <c r="H487" s="3" t="s">
        <v>85</v>
      </c>
    </row>
    <row r="488" spans="1:8" ht="48" customHeight="1">
      <c r="A488" s="4" t="s">
        <v>938</v>
      </c>
      <c r="B488" s="4" t="s">
        <v>1073</v>
      </c>
      <c r="C488" s="4" t="s">
        <v>537</v>
      </c>
      <c r="D488" s="4" t="s">
        <v>1074</v>
      </c>
      <c r="E488" s="4" t="s">
        <v>609</v>
      </c>
      <c r="F488" s="4" t="s">
        <v>1075</v>
      </c>
      <c r="G488" s="4" t="s">
        <v>1075</v>
      </c>
      <c r="H488" s="4" t="s">
        <v>1076</v>
      </c>
    </row>
    <row r="489" spans="1:8" ht="30" customHeight="1">
      <c r="A489" s="3" t="s">
        <v>938</v>
      </c>
      <c r="B489" s="3" t="s">
        <v>85</v>
      </c>
      <c r="C489" s="3" t="s">
        <v>85</v>
      </c>
      <c r="D489" s="3" t="s">
        <v>85</v>
      </c>
      <c r="E489" s="3" t="s">
        <v>611</v>
      </c>
      <c r="F489" s="3" t="s">
        <v>1077</v>
      </c>
      <c r="G489" s="3" t="s">
        <v>1077</v>
      </c>
      <c r="H489" s="3" t="s">
        <v>85</v>
      </c>
    </row>
    <row r="490" spans="1:8" ht="30" customHeight="1">
      <c r="A490" s="4" t="s">
        <v>938</v>
      </c>
      <c r="B490" s="4" t="s">
        <v>85</v>
      </c>
      <c r="C490" s="4" t="s">
        <v>85</v>
      </c>
      <c r="D490" s="4" t="s">
        <v>85</v>
      </c>
      <c r="E490" s="4" t="s">
        <v>646</v>
      </c>
      <c r="F490" s="4" t="s">
        <v>1078</v>
      </c>
      <c r="G490" s="4" t="s">
        <v>1078</v>
      </c>
      <c r="H490" s="4" t="s">
        <v>85</v>
      </c>
    </row>
    <row r="491" spans="1:8" ht="30" customHeight="1">
      <c r="A491" s="3" t="s">
        <v>938</v>
      </c>
      <c r="B491" s="3" t="s">
        <v>85</v>
      </c>
      <c r="C491" s="3" t="s">
        <v>85</v>
      </c>
      <c r="D491" s="3" t="s">
        <v>85</v>
      </c>
      <c r="E491" s="3" t="s">
        <v>1079</v>
      </c>
      <c r="F491" s="3" t="s">
        <v>1080</v>
      </c>
      <c r="G491" s="3" t="s">
        <v>1080</v>
      </c>
      <c r="H491" s="3" t="s">
        <v>85</v>
      </c>
    </row>
    <row r="492" spans="1:8" ht="30" customHeight="1">
      <c r="A492" s="4" t="s">
        <v>938</v>
      </c>
      <c r="B492" s="4" t="s">
        <v>85</v>
      </c>
      <c r="C492" s="4" t="s">
        <v>85</v>
      </c>
      <c r="D492" s="4" t="s">
        <v>85</v>
      </c>
      <c r="E492" s="4" t="s">
        <v>648</v>
      </c>
      <c r="F492" s="4" t="s">
        <v>1081</v>
      </c>
      <c r="G492" s="4" t="s">
        <v>1081</v>
      </c>
      <c r="H492" s="4" t="s">
        <v>85</v>
      </c>
    </row>
    <row r="493" spans="1:8" ht="102" customHeight="1">
      <c r="A493" s="3" t="s">
        <v>938</v>
      </c>
      <c r="B493" s="3" t="s">
        <v>1082</v>
      </c>
      <c r="C493" s="3" t="s">
        <v>537</v>
      </c>
      <c r="D493" s="3" t="s">
        <v>1083</v>
      </c>
      <c r="E493" s="3" t="s">
        <v>1084</v>
      </c>
      <c r="F493" s="3" t="s">
        <v>623</v>
      </c>
      <c r="G493" s="3" t="s">
        <v>623</v>
      </c>
      <c r="H493" s="3" t="s">
        <v>1085</v>
      </c>
    </row>
    <row r="494" spans="1:8" ht="30" customHeight="1">
      <c r="A494" s="4" t="s">
        <v>938</v>
      </c>
      <c r="B494" s="4" t="s">
        <v>85</v>
      </c>
      <c r="C494" s="4" t="s">
        <v>85</v>
      </c>
      <c r="D494" s="4" t="s">
        <v>85</v>
      </c>
      <c r="E494" s="4" t="s">
        <v>1086</v>
      </c>
      <c r="F494" s="4" t="s">
        <v>470</v>
      </c>
      <c r="G494" s="4" t="s">
        <v>470</v>
      </c>
      <c r="H494" s="4" t="s">
        <v>85</v>
      </c>
    </row>
    <row r="495" spans="1:8" ht="30" customHeight="1">
      <c r="A495" s="3" t="s">
        <v>938</v>
      </c>
      <c r="B495" s="3" t="s">
        <v>85</v>
      </c>
      <c r="C495" s="3" t="s">
        <v>85</v>
      </c>
      <c r="D495" s="3" t="s">
        <v>85</v>
      </c>
      <c r="E495" s="3" t="s">
        <v>690</v>
      </c>
      <c r="F495" s="3" t="s">
        <v>468</v>
      </c>
      <c r="G495" s="3" t="s">
        <v>468</v>
      </c>
      <c r="H495" s="3" t="s">
        <v>85</v>
      </c>
    </row>
    <row r="496" spans="1:8" ht="48" customHeight="1">
      <c r="A496" s="4" t="s">
        <v>938</v>
      </c>
      <c r="B496" s="4" t="s">
        <v>1087</v>
      </c>
      <c r="C496" s="4" t="s">
        <v>537</v>
      </c>
      <c r="D496" s="4" t="s">
        <v>1088</v>
      </c>
      <c r="E496" s="4" t="s">
        <v>1089</v>
      </c>
      <c r="F496" s="4" t="s">
        <v>376</v>
      </c>
      <c r="G496" s="4" t="s">
        <v>376</v>
      </c>
      <c r="H496" s="4" t="s">
        <v>1090</v>
      </c>
    </row>
    <row r="497" spans="1:8" ht="30" customHeight="1">
      <c r="A497" s="3" t="s">
        <v>938</v>
      </c>
      <c r="B497" s="3" t="s">
        <v>85</v>
      </c>
      <c r="C497" s="3" t="s">
        <v>85</v>
      </c>
      <c r="D497" s="3" t="s">
        <v>85</v>
      </c>
      <c r="E497" s="3" t="s">
        <v>198</v>
      </c>
      <c r="F497" s="3" t="s">
        <v>1091</v>
      </c>
      <c r="G497" s="3" t="s">
        <v>1091</v>
      </c>
      <c r="H497" s="3" t="s">
        <v>85</v>
      </c>
    </row>
    <row r="498" spans="1:8" ht="30" customHeight="1">
      <c r="A498" s="4" t="s">
        <v>938</v>
      </c>
      <c r="B498" s="4" t="s">
        <v>85</v>
      </c>
      <c r="C498" s="4" t="s">
        <v>85</v>
      </c>
      <c r="D498" s="4" t="s">
        <v>85</v>
      </c>
      <c r="E498" s="4" t="s">
        <v>1092</v>
      </c>
      <c r="F498" s="4" t="s">
        <v>1093</v>
      </c>
      <c r="G498" s="4" t="s">
        <v>1093</v>
      </c>
      <c r="H498" s="4" t="s">
        <v>85</v>
      </c>
    </row>
    <row r="499" spans="1:8" ht="30" customHeight="1">
      <c r="A499" s="3" t="s">
        <v>938</v>
      </c>
      <c r="B499" s="3" t="s">
        <v>85</v>
      </c>
      <c r="C499" s="3" t="s">
        <v>85</v>
      </c>
      <c r="D499" s="3" t="s">
        <v>85</v>
      </c>
      <c r="E499" s="3" t="s">
        <v>1094</v>
      </c>
      <c r="F499" s="3" t="s">
        <v>1095</v>
      </c>
      <c r="G499" s="3" t="s">
        <v>1095</v>
      </c>
      <c r="H499" s="3" t="s">
        <v>85</v>
      </c>
    </row>
    <row r="500" spans="1:8" ht="48" customHeight="1">
      <c r="A500" s="4" t="s">
        <v>938</v>
      </c>
      <c r="B500" s="4" t="s">
        <v>1096</v>
      </c>
      <c r="C500" s="4" t="s">
        <v>537</v>
      </c>
      <c r="D500" s="4" t="s">
        <v>1097</v>
      </c>
      <c r="E500" s="4" t="s">
        <v>1098</v>
      </c>
      <c r="F500" s="4" t="s">
        <v>1099</v>
      </c>
      <c r="G500" s="4" t="s">
        <v>1099</v>
      </c>
      <c r="H500" s="4" t="s">
        <v>1100</v>
      </c>
    </row>
    <row r="501" spans="1:8" ht="30" customHeight="1">
      <c r="A501" s="3" t="s">
        <v>938</v>
      </c>
      <c r="B501" s="3" t="s">
        <v>85</v>
      </c>
      <c r="C501" s="3" t="s">
        <v>85</v>
      </c>
      <c r="D501" s="3" t="s">
        <v>85</v>
      </c>
      <c r="E501" s="3" t="s">
        <v>1101</v>
      </c>
      <c r="F501" s="3" t="s">
        <v>1102</v>
      </c>
      <c r="G501" s="3" t="s">
        <v>1102</v>
      </c>
      <c r="H501" s="3" t="s">
        <v>85</v>
      </c>
    </row>
    <row r="502" spans="1:8" ht="30" customHeight="1">
      <c r="A502" s="4" t="s">
        <v>938</v>
      </c>
      <c r="B502" s="4" t="s">
        <v>85</v>
      </c>
      <c r="C502" s="4" t="s">
        <v>85</v>
      </c>
      <c r="D502" s="4" t="s">
        <v>85</v>
      </c>
      <c r="E502" s="4" t="s">
        <v>1103</v>
      </c>
      <c r="F502" s="4" t="s">
        <v>1104</v>
      </c>
      <c r="G502" s="4" t="s">
        <v>1104</v>
      </c>
      <c r="H502" s="4" t="s">
        <v>85</v>
      </c>
    </row>
    <row r="503" spans="1:8" ht="66" customHeight="1">
      <c r="A503" s="3" t="s">
        <v>1105</v>
      </c>
      <c r="B503" s="3" t="s">
        <v>1106</v>
      </c>
      <c r="C503" s="3" t="s">
        <v>537</v>
      </c>
      <c r="D503" s="3" t="s">
        <v>1107</v>
      </c>
      <c r="E503" s="3" t="s">
        <v>1108</v>
      </c>
      <c r="F503" s="3" t="s">
        <v>1109</v>
      </c>
      <c r="G503" s="3" t="s">
        <v>1109</v>
      </c>
      <c r="H503" s="3" t="s">
        <v>1110</v>
      </c>
    </row>
    <row r="504" spans="1:8" ht="66" customHeight="1">
      <c r="A504" s="4" t="s">
        <v>1111</v>
      </c>
      <c r="B504" s="4" t="s">
        <v>1112</v>
      </c>
      <c r="C504" s="4" t="s">
        <v>537</v>
      </c>
      <c r="D504" s="4" t="s">
        <v>1113</v>
      </c>
      <c r="E504" s="4" t="s">
        <v>1114</v>
      </c>
      <c r="F504" s="4" t="s">
        <v>1115</v>
      </c>
      <c r="G504" s="4" t="s">
        <v>1115</v>
      </c>
      <c r="H504" s="4" t="s">
        <v>1116</v>
      </c>
    </row>
  </sheetData>
  <mergeCells count="2">
    <mergeCell ref="A1:H1"/>
    <mergeCell ref="A2:H2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5"/>
  <sheetViews>
    <sheetView showGridLines="0" workbookViewId="0">
      <pane ySplit="4" topLeftCell="A23" activePane="bottomLeft" state="frozen"/>
      <selection pane="bottomLeft" sqref="A1:H1"/>
    </sheetView>
  </sheetViews>
  <sheetFormatPr baseColWidth="10" defaultColWidth="8.83203125" defaultRowHeight="17"/>
  <cols>
    <col min="1" max="1" width="12" customWidth="1"/>
    <col min="2" max="2" width="28" customWidth="1"/>
    <col min="3" max="3" width="30" customWidth="1"/>
    <col min="4" max="4" width="22" customWidth="1"/>
    <col min="5" max="5" width="24" customWidth="1"/>
    <col min="6" max="6" width="12" customWidth="1"/>
    <col min="7" max="7" width="16" customWidth="1"/>
    <col min="8" max="8" width="60" customWidth="1"/>
  </cols>
  <sheetData>
    <row r="1" spans="1:8" ht="42" customHeight="1">
      <c r="A1" s="21" t="s">
        <v>1117</v>
      </c>
      <c r="B1" s="22"/>
      <c r="C1" s="22"/>
      <c r="D1" s="22"/>
      <c r="E1" s="22"/>
      <c r="F1" s="22"/>
      <c r="G1" s="22"/>
      <c r="H1" s="22"/>
    </row>
    <row r="2" spans="1:8" ht="33" customHeight="1">
      <c r="A2" s="19" t="s">
        <v>1118</v>
      </c>
      <c r="B2" s="20"/>
      <c r="C2" s="20"/>
      <c r="D2" s="20"/>
      <c r="E2" s="20"/>
      <c r="F2" s="20"/>
      <c r="G2" s="20"/>
      <c r="H2" s="20"/>
    </row>
    <row r="3" spans="1:8" ht="16" customHeight="1">
      <c r="A3" s="2"/>
      <c r="B3" s="2"/>
      <c r="C3" s="2"/>
      <c r="D3" s="2"/>
      <c r="E3" s="2"/>
      <c r="F3" s="2"/>
      <c r="G3" s="2"/>
      <c r="H3" s="2"/>
    </row>
    <row r="4" spans="1:8" ht="48" customHeight="1">
      <c r="A4" s="7" t="s">
        <v>1119</v>
      </c>
      <c r="B4" s="7" t="s">
        <v>1120</v>
      </c>
      <c r="C4" s="7" t="s">
        <v>1121</v>
      </c>
      <c r="D4" s="7" t="s">
        <v>1122</v>
      </c>
      <c r="E4" s="7" t="s">
        <v>1123</v>
      </c>
      <c r="F4" s="7" t="s">
        <v>1124</v>
      </c>
      <c r="G4" s="7" t="s">
        <v>1125</v>
      </c>
      <c r="H4" s="7" t="s">
        <v>1126</v>
      </c>
    </row>
    <row r="5" spans="1:8" ht="48" customHeight="1">
      <c r="A5" s="3" t="s">
        <v>1127</v>
      </c>
      <c r="B5" s="3" t="s">
        <v>939</v>
      </c>
      <c r="C5" s="3" t="s">
        <v>1128</v>
      </c>
      <c r="D5" s="3" t="s">
        <v>1129</v>
      </c>
      <c r="E5" s="3" t="s">
        <v>1130</v>
      </c>
      <c r="F5" s="8">
        <v>23160</v>
      </c>
      <c r="G5" s="3" t="s">
        <v>1050</v>
      </c>
      <c r="H5" s="3" t="s">
        <v>1131</v>
      </c>
    </row>
    <row r="6" spans="1:8" ht="48" customHeight="1">
      <c r="A6" s="4" t="s">
        <v>1127</v>
      </c>
      <c r="B6" s="4" t="s">
        <v>949</v>
      </c>
      <c r="C6" s="4" t="s">
        <v>1132</v>
      </c>
      <c r="D6" s="4" t="s">
        <v>1133</v>
      </c>
      <c r="E6" s="4" t="s">
        <v>950</v>
      </c>
      <c r="F6" s="9">
        <v>22779</v>
      </c>
      <c r="G6" s="4" t="s">
        <v>1050</v>
      </c>
      <c r="H6" s="4" t="s">
        <v>1134</v>
      </c>
    </row>
    <row r="7" spans="1:8" ht="48" customHeight="1">
      <c r="A7" s="3" t="s">
        <v>1127</v>
      </c>
      <c r="B7" s="3" t="s">
        <v>960</v>
      </c>
      <c r="C7" s="3" t="s">
        <v>1135</v>
      </c>
      <c r="D7" s="3" t="s">
        <v>1136</v>
      </c>
      <c r="E7" s="3" t="s">
        <v>961</v>
      </c>
      <c r="F7" s="8">
        <v>20134</v>
      </c>
      <c r="G7" s="3" t="s">
        <v>964</v>
      </c>
      <c r="H7" s="3" t="s">
        <v>1137</v>
      </c>
    </row>
    <row r="8" spans="1:8" ht="66" customHeight="1">
      <c r="A8" s="4" t="s">
        <v>1127</v>
      </c>
      <c r="B8" s="4" t="s">
        <v>971</v>
      </c>
      <c r="C8" s="4" t="s">
        <v>1138</v>
      </c>
      <c r="D8" s="4" t="s">
        <v>1139</v>
      </c>
      <c r="E8" s="4" t="s">
        <v>1140</v>
      </c>
      <c r="F8" s="9">
        <v>22372</v>
      </c>
      <c r="G8" s="4" t="s">
        <v>1050</v>
      </c>
      <c r="H8" s="4" t="s">
        <v>1141</v>
      </c>
    </row>
    <row r="9" spans="1:8" ht="48" customHeight="1">
      <c r="A9" s="3" t="s">
        <v>1127</v>
      </c>
      <c r="B9" s="3" t="s">
        <v>977</v>
      </c>
      <c r="C9" s="3" t="s">
        <v>1142</v>
      </c>
      <c r="D9" s="3" t="s">
        <v>1143</v>
      </c>
      <c r="E9" s="3" t="s">
        <v>978</v>
      </c>
      <c r="F9" s="8">
        <v>7893</v>
      </c>
      <c r="G9" s="3" t="s">
        <v>1144</v>
      </c>
      <c r="H9" s="3" t="s">
        <v>1145</v>
      </c>
    </row>
    <row r="10" spans="1:8" ht="48" customHeight="1">
      <c r="A10" s="4" t="s">
        <v>1127</v>
      </c>
      <c r="B10" s="4" t="s">
        <v>995</v>
      </c>
      <c r="C10" s="4" t="s">
        <v>1146</v>
      </c>
      <c r="D10" s="4" t="s">
        <v>1147</v>
      </c>
      <c r="E10" s="4" t="s">
        <v>996</v>
      </c>
      <c r="F10" s="9">
        <v>6608</v>
      </c>
      <c r="G10" s="4" t="s">
        <v>1148</v>
      </c>
      <c r="H10" s="4" t="s">
        <v>1149</v>
      </c>
    </row>
    <row r="11" spans="1:8" ht="48" customHeight="1">
      <c r="A11" s="3" t="s">
        <v>1127</v>
      </c>
      <c r="B11" s="3" t="s">
        <v>1008</v>
      </c>
      <c r="C11" s="3" t="s">
        <v>1150</v>
      </c>
      <c r="D11" s="3" t="s">
        <v>1151</v>
      </c>
      <c r="E11" s="3" t="s">
        <v>1009</v>
      </c>
      <c r="F11" s="8">
        <v>8730</v>
      </c>
      <c r="G11" s="3" t="s">
        <v>1152</v>
      </c>
      <c r="H11" s="3" t="s">
        <v>1153</v>
      </c>
    </row>
    <row r="12" spans="1:8" ht="48" customHeight="1">
      <c r="A12" s="4" t="s">
        <v>1127</v>
      </c>
      <c r="B12" s="4" t="s">
        <v>1019</v>
      </c>
      <c r="C12" s="4" t="s">
        <v>1154</v>
      </c>
      <c r="D12" s="4" t="s">
        <v>1155</v>
      </c>
      <c r="E12" s="4" t="s">
        <v>1020</v>
      </c>
      <c r="F12" s="9">
        <v>5390</v>
      </c>
      <c r="G12" s="4" t="s">
        <v>1156</v>
      </c>
      <c r="H12" s="4" t="s">
        <v>1157</v>
      </c>
    </row>
    <row r="13" spans="1:8" ht="48" customHeight="1">
      <c r="A13" s="3" t="s">
        <v>1127</v>
      </c>
      <c r="B13" s="3" t="s">
        <v>1096</v>
      </c>
      <c r="C13" s="3" t="s">
        <v>1158</v>
      </c>
      <c r="D13" s="3" t="s">
        <v>1159</v>
      </c>
      <c r="E13" s="3" t="s">
        <v>1160</v>
      </c>
      <c r="F13" s="8">
        <v>2652</v>
      </c>
      <c r="G13" s="3" t="s">
        <v>1161</v>
      </c>
      <c r="H13" s="3" t="s">
        <v>1162</v>
      </c>
    </row>
    <row r="14" spans="1:8" ht="48" customHeight="1">
      <c r="A14" s="4" t="s">
        <v>1127</v>
      </c>
      <c r="B14" s="4" t="s">
        <v>986</v>
      </c>
      <c r="C14" s="4" t="s">
        <v>1163</v>
      </c>
      <c r="D14" s="4" t="s">
        <v>1164</v>
      </c>
      <c r="E14" s="4" t="s">
        <v>987</v>
      </c>
      <c r="F14" s="9">
        <v>7844</v>
      </c>
      <c r="G14" s="4" t="s">
        <v>1144</v>
      </c>
      <c r="H14" s="4" t="s">
        <v>1165</v>
      </c>
    </row>
    <row r="15" spans="1:8" ht="48" customHeight="1">
      <c r="A15" s="3" t="s">
        <v>1127</v>
      </c>
      <c r="B15" s="3" t="s">
        <v>1023</v>
      </c>
      <c r="C15" s="3" t="s">
        <v>1166</v>
      </c>
      <c r="D15" s="3" t="s">
        <v>1167</v>
      </c>
      <c r="E15" s="3" t="s">
        <v>1024</v>
      </c>
      <c r="F15" s="8">
        <v>15185</v>
      </c>
      <c r="G15" s="3" t="s">
        <v>1168</v>
      </c>
      <c r="H15" s="3" t="s">
        <v>1169</v>
      </c>
    </row>
    <row r="16" spans="1:8" ht="48" customHeight="1">
      <c r="A16" s="4" t="s">
        <v>1127</v>
      </c>
      <c r="B16" s="4" t="s">
        <v>1036</v>
      </c>
      <c r="C16" s="4" t="s">
        <v>1170</v>
      </c>
      <c r="D16" s="4" t="s">
        <v>1171</v>
      </c>
      <c r="E16" s="4" t="s">
        <v>1037</v>
      </c>
      <c r="F16" s="9">
        <v>12157</v>
      </c>
      <c r="G16" s="4" t="s">
        <v>1172</v>
      </c>
      <c r="H16" s="4" t="s">
        <v>1173</v>
      </c>
    </row>
    <row r="17" spans="1:8" ht="48" customHeight="1">
      <c r="A17" s="3" t="s">
        <v>1127</v>
      </c>
      <c r="B17" s="3" t="s">
        <v>1046</v>
      </c>
      <c r="C17" s="3" t="s">
        <v>1174</v>
      </c>
      <c r="D17" s="3" t="s">
        <v>1175</v>
      </c>
      <c r="E17" s="3" t="s">
        <v>1047</v>
      </c>
      <c r="F17" s="8">
        <v>22155</v>
      </c>
      <c r="G17" s="3" t="s">
        <v>1050</v>
      </c>
      <c r="H17" s="3" t="s">
        <v>1176</v>
      </c>
    </row>
    <row r="18" spans="1:8" ht="30" customHeight="1">
      <c r="A18" s="4" t="s">
        <v>1127</v>
      </c>
      <c r="B18" s="4" t="s">
        <v>1059</v>
      </c>
      <c r="C18" s="4" t="s">
        <v>1177</v>
      </c>
      <c r="D18" s="4" t="s">
        <v>1178</v>
      </c>
      <c r="E18" s="4" t="s">
        <v>1179</v>
      </c>
      <c r="F18" s="9">
        <v>22672</v>
      </c>
      <c r="G18" s="4" t="s">
        <v>1050</v>
      </c>
      <c r="H18" s="4" t="s">
        <v>1180</v>
      </c>
    </row>
    <row r="19" spans="1:8" ht="30" customHeight="1">
      <c r="A19" s="3" t="s">
        <v>1127</v>
      </c>
      <c r="B19" s="3" t="s">
        <v>1065</v>
      </c>
      <c r="C19" s="3" t="s">
        <v>1181</v>
      </c>
      <c r="D19" s="3" t="s">
        <v>1182</v>
      </c>
      <c r="E19" s="3" t="s">
        <v>1066</v>
      </c>
      <c r="F19" s="8">
        <v>22791</v>
      </c>
      <c r="G19" s="3" t="s">
        <v>1050</v>
      </c>
      <c r="H19" s="3" t="s">
        <v>1183</v>
      </c>
    </row>
    <row r="20" spans="1:8" ht="48" customHeight="1">
      <c r="A20" s="4" t="s">
        <v>1127</v>
      </c>
      <c r="B20" s="4" t="s">
        <v>1068</v>
      </c>
      <c r="C20" s="4" t="s">
        <v>1184</v>
      </c>
      <c r="D20" s="4" t="s">
        <v>1185</v>
      </c>
      <c r="E20" s="4" t="s">
        <v>1069</v>
      </c>
      <c r="F20" s="9">
        <v>3461</v>
      </c>
      <c r="G20" s="4" t="s">
        <v>1186</v>
      </c>
      <c r="H20" s="4" t="s">
        <v>1187</v>
      </c>
    </row>
    <row r="21" spans="1:8" ht="30" customHeight="1">
      <c r="A21" s="3" t="s">
        <v>1127</v>
      </c>
      <c r="B21" s="3" t="s">
        <v>1073</v>
      </c>
      <c r="C21" s="3" t="s">
        <v>1188</v>
      </c>
      <c r="D21" s="3" t="s">
        <v>1189</v>
      </c>
      <c r="E21" s="3" t="s">
        <v>1074</v>
      </c>
      <c r="F21" s="8">
        <v>4659</v>
      </c>
      <c r="G21" s="3" t="s">
        <v>1156</v>
      </c>
      <c r="H21" s="3" t="s">
        <v>1190</v>
      </c>
    </row>
    <row r="22" spans="1:8" ht="48" customHeight="1">
      <c r="A22" s="4" t="s">
        <v>1127</v>
      </c>
      <c r="B22" s="4" t="s">
        <v>1082</v>
      </c>
      <c r="C22" s="4" t="s">
        <v>1191</v>
      </c>
      <c r="D22" s="4" t="s">
        <v>1192</v>
      </c>
      <c r="E22" s="4" t="s">
        <v>1193</v>
      </c>
      <c r="F22" s="9">
        <v>3883</v>
      </c>
      <c r="G22" s="4" t="s">
        <v>1186</v>
      </c>
      <c r="H22" s="4" t="s">
        <v>1194</v>
      </c>
    </row>
    <row r="23" spans="1:8" ht="30" customHeight="1">
      <c r="A23" s="3" t="s">
        <v>1127</v>
      </c>
      <c r="B23" s="3" t="s">
        <v>1087</v>
      </c>
      <c r="C23" s="3" t="s">
        <v>1195</v>
      </c>
      <c r="D23" s="3" t="s">
        <v>1196</v>
      </c>
      <c r="E23" s="3" t="s">
        <v>1197</v>
      </c>
      <c r="F23" s="8">
        <v>3501</v>
      </c>
      <c r="G23" s="3" t="s">
        <v>1186</v>
      </c>
      <c r="H23" s="3" t="s">
        <v>1198</v>
      </c>
    </row>
    <row r="24" spans="1:8" ht="48" customHeight="1">
      <c r="A24" s="4" t="s">
        <v>1199</v>
      </c>
      <c r="B24" s="4" t="s">
        <v>64</v>
      </c>
      <c r="C24" s="4" t="s">
        <v>64</v>
      </c>
      <c r="D24" s="4" t="s">
        <v>1200</v>
      </c>
      <c r="E24" s="4" t="s">
        <v>1201</v>
      </c>
      <c r="F24" s="9">
        <v>17108</v>
      </c>
      <c r="G24" s="4" t="s">
        <v>1202</v>
      </c>
      <c r="H24" s="4" t="s">
        <v>1203</v>
      </c>
    </row>
    <row r="25" spans="1:8" ht="48" customHeight="1">
      <c r="A25" s="3" t="s">
        <v>1199</v>
      </c>
      <c r="B25" s="3" t="s">
        <v>64</v>
      </c>
      <c r="C25" s="3" t="s">
        <v>64</v>
      </c>
      <c r="D25" s="3" t="s">
        <v>1204</v>
      </c>
      <c r="E25" s="3" t="s">
        <v>1205</v>
      </c>
      <c r="F25" s="8">
        <v>21627</v>
      </c>
      <c r="G25" s="3" t="s">
        <v>1206</v>
      </c>
      <c r="H25" s="3" t="s">
        <v>1207</v>
      </c>
    </row>
    <row r="26" spans="1:8" ht="48" customHeight="1">
      <c r="A26" s="4" t="s">
        <v>1199</v>
      </c>
      <c r="B26" s="4" t="s">
        <v>64</v>
      </c>
      <c r="C26" s="4" t="s">
        <v>64</v>
      </c>
      <c r="D26" s="4" t="s">
        <v>1208</v>
      </c>
      <c r="E26" s="4" t="s">
        <v>1209</v>
      </c>
      <c r="F26" s="9">
        <v>3969</v>
      </c>
      <c r="G26" s="4" t="s">
        <v>1186</v>
      </c>
      <c r="H26" s="4" t="s">
        <v>1210</v>
      </c>
    </row>
    <row r="27" spans="1:8" ht="48" customHeight="1">
      <c r="A27" s="3" t="s">
        <v>1199</v>
      </c>
      <c r="B27" s="3" t="s">
        <v>64</v>
      </c>
      <c r="C27" s="3" t="s">
        <v>64</v>
      </c>
      <c r="D27" s="3" t="s">
        <v>1211</v>
      </c>
      <c r="E27" s="3" t="s">
        <v>1212</v>
      </c>
      <c r="F27" s="8">
        <v>20399</v>
      </c>
      <c r="G27" s="3" t="s">
        <v>964</v>
      </c>
      <c r="H27" s="3" t="s">
        <v>1213</v>
      </c>
    </row>
    <row r="28" spans="1:8" ht="66" customHeight="1">
      <c r="A28" s="4" t="s">
        <v>1199</v>
      </c>
      <c r="B28" s="4" t="s">
        <v>64</v>
      </c>
      <c r="C28" s="4" t="s">
        <v>64</v>
      </c>
      <c r="D28" s="4" t="s">
        <v>1214</v>
      </c>
      <c r="E28" s="4" t="s">
        <v>1215</v>
      </c>
      <c r="F28" s="9">
        <v>5025</v>
      </c>
      <c r="G28" s="4" t="s">
        <v>1156</v>
      </c>
      <c r="H28" s="4" t="s">
        <v>1216</v>
      </c>
    </row>
    <row r="29" spans="1:8" ht="48" customHeight="1">
      <c r="A29" s="3" t="s">
        <v>1199</v>
      </c>
      <c r="B29" s="3" t="s">
        <v>64</v>
      </c>
      <c r="C29" s="3" t="s">
        <v>64</v>
      </c>
      <c r="D29" s="3" t="s">
        <v>1217</v>
      </c>
      <c r="E29" s="3" t="s">
        <v>1218</v>
      </c>
      <c r="F29" s="8">
        <v>5400</v>
      </c>
      <c r="G29" s="3" t="s">
        <v>1156</v>
      </c>
      <c r="H29" s="3" t="s">
        <v>1219</v>
      </c>
    </row>
    <row r="30" spans="1:8" ht="48" customHeight="1">
      <c r="A30" s="4" t="s">
        <v>1199</v>
      </c>
      <c r="B30" s="4" t="s">
        <v>64</v>
      </c>
      <c r="C30" s="4" t="s">
        <v>64</v>
      </c>
      <c r="D30" s="4" t="s">
        <v>1220</v>
      </c>
      <c r="E30" s="4" t="s">
        <v>1221</v>
      </c>
      <c r="F30" s="9">
        <v>8818</v>
      </c>
      <c r="G30" s="4" t="s">
        <v>1152</v>
      </c>
      <c r="H30" s="4" t="s">
        <v>1222</v>
      </c>
    </row>
    <row r="31" spans="1:8" ht="48" customHeight="1">
      <c r="A31" s="3" t="s">
        <v>1199</v>
      </c>
      <c r="B31" s="3" t="s">
        <v>64</v>
      </c>
      <c r="C31" s="3" t="s">
        <v>64</v>
      </c>
      <c r="D31" s="3" t="s">
        <v>1223</v>
      </c>
      <c r="E31" s="3" t="s">
        <v>1224</v>
      </c>
      <c r="F31" s="8">
        <v>3713</v>
      </c>
      <c r="G31" s="3" t="s">
        <v>1186</v>
      </c>
      <c r="H31" s="3" t="s">
        <v>1225</v>
      </c>
    </row>
    <row r="32" spans="1:8" ht="30" customHeight="1">
      <c r="A32" s="4" t="s">
        <v>1199</v>
      </c>
      <c r="B32" s="4" t="s">
        <v>64</v>
      </c>
      <c r="C32" s="4" t="s">
        <v>64</v>
      </c>
      <c r="D32" s="4" t="s">
        <v>1226</v>
      </c>
      <c r="E32" s="4" t="s">
        <v>1227</v>
      </c>
      <c r="F32" s="9">
        <v>3951</v>
      </c>
      <c r="G32" s="4" t="s">
        <v>1186</v>
      </c>
      <c r="H32" s="4" t="s">
        <v>1228</v>
      </c>
    </row>
    <row r="33" spans="1:8" ht="48" customHeight="1">
      <c r="A33" s="3" t="s">
        <v>1199</v>
      </c>
      <c r="B33" s="3" t="s">
        <v>64</v>
      </c>
      <c r="C33" s="3" t="s">
        <v>64</v>
      </c>
      <c r="D33" s="3" t="s">
        <v>1229</v>
      </c>
      <c r="E33" s="3" t="s">
        <v>1230</v>
      </c>
      <c r="F33" s="8">
        <v>3679</v>
      </c>
      <c r="G33" s="3" t="s">
        <v>1186</v>
      </c>
      <c r="H33" s="3" t="s">
        <v>1231</v>
      </c>
    </row>
    <row r="34" spans="1:8" ht="48" customHeight="1">
      <c r="A34" s="4" t="s">
        <v>1199</v>
      </c>
      <c r="B34" s="4" t="s">
        <v>64</v>
      </c>
      <c r="C34" s="4" t="s">
        <v>64</v>
      </c>
      <c r="D34" s="4" t="s">
        <v>1232</v>
      </c>
      <c r="E34" s="4" t="s">
        <v>1233</v>
      </c>
      <c r="F34" s="9">
        <v>8640</v>
      </c>
      <c r="G34" s="4" t="s">
        <v>1152</v>
      </c>
      <c r="H34" s="4" t="s">
        <v>1234</v>
      </c>
    </row>
    <row r="35" spans="1:8" ht="30" customHeight="1">
      <c r="A35" s="3" t="s">
        <v>1199</v>
      </c>
      <c r="B35" s="3" t="s">
        <v>64</v>
      </c>
      <c r="C35" s="3" t="s">
        <v>64</v>
      </c>
      <c r="D35" s="3" t="s">
        <v>1235</v>
      </c>
      <c r="E35" s="3" t="s">
        <v>1236</v>
      </c>
      <c r="F35" s="8">
        <v>3662</v>
      </c>
      <c r="G35" s="3" t="s">
        <v>1186</v>
      </c>
      <c r="H35" s="3" t="s">
        <v>1237</v>
      </c>
    </row>
    <row r="36" spans="1:8" ht="30" customHeight="1">
      <c r="A36" s="4" t="s">
        <v>1199</v>
      </c>
      <c r="B36" s="4" t="s">
        <v>64</v>
      </c>
      <c r="C36" s="4" t="s">
        <v>64</v>
      </c>
      <c r="D36" s="4" t="s">
        <v>1238</v>
      </c>
      <c r="E36" s="4" t="s">
        <v>1239</v>
      </c>
      <c r="F36" s="9">
        <v>4149</v>
      </c>
      <c r="G36" s="4" t="s">
        <v>1186</v>
      </c>
      <c r="H36" s="4" t="s">
        <v>1240</v>
      </c>
    </row>
    <row r="37" spans="1:8" ht="30" customHeight="1">
      <c r="A37" s="3" t="s">
        <v>1199</v>
      </c>
      <c r="B37" s="3" t="s">
        <v>64</v>
      </c>
      <c r="C37" s="3" t="s">
        <v>64</v>
      </c>
      <c r="D37" s="3" t="s">
        <v>1241</v>
      </c>
      <c r="E37" s="3" t="s">
        <v>1242</v>
      </c>
      <c r="F37" s="8">
        <v>21909</v>
      </c>
      <c r="G37" s="3" t="s">
        <v>1206</v>
      </c>
      <c r="H37" s="3" t="s">
        <v>1243</v>
      </c>
    </row>
    <row r="38" spans="1:8" ht="48" customHeight="1">
      <c r="A38" s="4" t="s">
        <v>1199</v>
      </c>
      <c r="B38" s="4" t="s">
        <v>64</v>
      </c>
      <c r="C38" s="4" t="s">
        <v>64</v>
      </c>
      <c r="D38" s="4" t="s">
        <v>1244</v>
      </c>
      <c r="E38" s="4" t="s">
        <v>1245</v>
      </c>
      <c r="F38" s="9">
        <v>18598</v>
      </c>
      <c r="G38" s="4" t="s">
        <v>1246</v>
      </c>
      <c r="H38" s="4" t="s">
        <v>1247</v>
      </c>
    </row>
    <row r="39" spans="1:8" ht="30" customHeight="1">
      <c r="A39" s="3" t="s">
        <v>1199</v>
      </c>
      <c r="B39" s="3" t="s">
        <v>64</v>
      </c>
      <c r="C39" s="3" t="s">
        <v>64</v>
      </c>
      <c r="D39" s="3" t="s">
        <v>1248</v>
      </c>
      <c r="E39" s="3" t="s">
        <v>1249</v>
      </c>
      <c r="F39" s="8">
        <v>5792</v>
      </c>
      <c r="G39" s="3" t="s">
        <v>1148</v>
      </c>
      <c r="H39" s="3" t="s">
        <v>1250</v>
      </c>
    </row>
    <row r="40" spans="1:8" ht="30" customHeight="1">
      <c r="A40" s="4" t="s">
        <v>1199</v>
      </c>
      <c r="B40" s="4" t="s">
        <v>64</v>
      </c>
      <c r="C40" s="4" t="s">
        <v>64</v>
      </c>
      <c r="D40" s="4" t="s">
        <v>1251</v>
      </c>
      <c r="E40" s="4" t="s">
        <v>1252</v>
      </c>
      <c r="F40" s="9">
        <v>19112</v>
      </c>
      <c r="G40" s="4" t="s">
        <v>1246</v>
      </c>
      <c r="H40" s="4" t="s">
        <v>1253</v>
      </c>
    </row>
    <row r="41" spans="1:8" ht="48" customHeight="1">
      <c r="A41" s="3" t="s">
        <v>1199</v>
      </c>
      <c r="B41" s="3" t="s">
        <v>64</v>
      </c>
      <c r="C41" s="3" t="s">
        <v>64</v>
      </c>
      <c r="D41" s="3" t="s">
        <v>1254</v>
      </c>
      <c r="E41" s="3" t="s">
        <v>1255</v>
      </c>
      <c r="F41" s="8">
        <v>4267</v>
      </c>
      <c r="G41" s="3" t="s">
        <v>1256</v>
      </c>
      <c r="H41" s="3" t="s">
        <v>1257</v>
      </c>
    </row>
    <row r="42" spans="1:8" ht="48" customHeight="1">
      <c r="A42" s="4" t="s">
        <v>1199</v>
      </c>
      <c r="B42" s="4" t="s">
        <v>64</v>
      </c>
      <c r="C42" s="4" t="s">
        <v>64</v>
      </c>
      <c r="D42" s="4" t="s">
        <v>1258</v>
      </c>
      <c r="E42" s="4" t="s">
        <v>1259</v>
      </c>
      <c r="F42" s="9">
        <v>2470</v>
      </c>
      <c r="G42" s="4" t="s">
        <v>1260</v>
      </c>
      <c r="H42" s="4" t="s">
        <v>1261</v>
      </c>
    </row>
    <row r="43" spans="1:8" ht="30" customHeight="1">
      <c r="A43" s="3" t="s">
        <v>1199</v>
      </c>
      <c r="B43" s="3" t="s">
        <v>64</v>
      </c>
      <c r="C43" s="3" t="s">
        <v>64</v>
      </c>
      <c r="D43" s="3" t="s">
        <v>1262</v>
      </c>
      <c r="E43" s="3" t="s">
        <v>1263</v>
      </c>
      <c r="F43" s="8">
        <v>2775</v>
      </c>
      <c r="G43" s="3" t="s">
        <v>1264</v>
      </c>
      <c r="H43" s="3" t="s">
        <v>1265</v>
      </c>
    </row>
    <row r="44" spans="1:8" ht="48" customHeight="1">
      <c r="A44" s="4" t="s">
        <v>1199</v>
      </c>
      <c r="B44" s="4" t="s">
        <v>1266</v>
      </c>
      <c r="C44" s="4" t="s">
        <v>1267</v>
      </c>
      <c r="D44" s="4" t="s">
        <v>1268</v>
      </c>
      <c r="E44" s="4" t="s">
        <v>1269</v>
      </c>
      <c r="F44" s="9">
        <v>5759</v>
      </c>
      <c r="G44" s="4" t="s">
        <v>1148</v>
      </c>
      <c r="H44" s="4" t="s">
        <v>1270</v>
      </c>
    </row>
    <row r="45" spans="1:8" ht="48" customHeight="1">
      <c r="A45" s="3" t="s">
        <v>1199</v>
      </c>
      <c r="B45" s="3" t="s">
        <v>64</v>
      </c>
      <c r="C45" s="3" t="s">
        <v>64</v>
      </c>
      <c r="D45" s="3" t="s">
        <v>1271</v>
      </c>
      <c r="E45" s="3" t="s">
        <v>1272</v>
      </c>
      <c r="F45" s="8">
        <v>22000</v>
      </c>
      <c r="G45" s="3" t="s">
        <v>1273</v>
      </c>
      <c r="H45" s="3" t="s">
        <v>1274</v>
      </c>
    </row>
  </sheetData>
  <mergeCells count="2">
    <mergeCell ref="A1:H1"/>
    <mergeCell ref="A2:H2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9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C10" sqref="C10"/>
    </sheetView>
  </sheetViews>
  <sheetFormatPr baseColWidth="10" defaultColWidth="8.83203125" defaultRowHeight="17"/>
  <cols>
    <col min="1" max="1" width="12" customWidth="1"/>
    <col min="2" max="2" width="30" customWidth="1"/>
    <col min="3" max="4" width="12" customWidth="1"/>
    <col min="5" max="5" width="22" customWidth="1"/>
    <col min="6" max="6" width="18" customWidth="1"/>
    <col min="7" max="7" width="15" customWidth="1"/>
    <col min="8" max="8" width="12" customWidth="1"/>
    <col min="9" max="9" width="40" customWidth="1"/>
    <col min="10" max="10" width="46" customWidth="1"/>
    <col min="11" max="11" width="40" customWidth="1"/>
    <col min="12" max="12" width="46" customWidth="1"/>
  </cols>
  <sheetData>
    <row r="1" spans="1:12" ht="42" customHeight="1">
      <c r="A1" s="21" t="s">
        <v>1275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33" customHeight="1">
      <c r="A2" s="19" t="s">
        <v>1276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33" customHeight="1">
      <c r="A3" s="19" t="s">
        <v>1277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ht="33" customHeight="1">
      <c r="A4" s="19" t="s">
        <v>1278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</row>
    <row r="5" spans="1:12" ht="33" customHeight="1">
      <c r="A5" s="19" t="s">
        <v>1279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2" ht="33" customHeight="1">
      <c r="A6" s="19" t="s">
        <v>1280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2" ht="33" customHeight="1">
      <c r="A7" s="19" t="s">
        <v>1281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1:12" ht="33" customHeight="1">
      <c r="A8" s="19" t="s">
        <v>1282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2" ht="66" customHeight="1">
      <c r="A9" s="7" t="s">
        <v>1283</v>
      </c>
      <c r="B9" s="7" t="s">
        <v>1284</v>
      </c>
      <c r="C9" s="7" t="s">
        <v>1285</v>
      </c>
      <c r="D9" s="7" t="s">
        <v>1286</v>
      </c>
      <c r="E9" s="7" t="s">
        <v>1287</v>
      </c>
      <c r="F9" s="7" t="s">
        <v>1288</v>
      </c>
      <c r="G9" s="7" t="s">
        <v>1289</v>
      </c>
      <c r="H9" s="7" t="s">
        <v>1290</v>
      </c>
      <c r="I9" s="7" t="s">
        <v>1291</v>
      </c>
      <c r="J9" s="7" t="s">
        <v>1292</v>
      </c>
      <c r="K9" s="7" t="s">
        <v>1293</v>
      </c>
      <c r="L9" s="7" t="s">
        <v>9</v>
      </c>
    </row>
    <row r="10" spans="1:12" ht="48" customHeight="1">
      <c r="A10" s="9">
        <v>1</v>
      </c>
      <c r="B10" s="4" t="s">
        <v>536</v>
      </c>
      <c r="C10" s="4" t="s">
        <v>1294</v>
      </c>
      <c r="D10" s="9">
        <v>5650</v>
      </c>
      <c r="E10" s="4" t="s">
        <v>1295</v>
      </c>
      <c r="F10" s="4" t="s">
        <v>1296</v>
      </c>
      <c r="G10" s="4" t="s">
        <v>1297</v>
      </c>
      <c r="H10" s="9">
        <v>0</v>
      </c>
      <c r="I10" s="4" t="s">
        <v>1298</v>
      </c>
      <c r="J10" s="4" t="s">
        <v>85</v>
      </c>
      <c r="K10" s="4" t="s">
        <v>85</v>
      </c>
      <c r="L10" s="4" t="s">
        <v>85</v>
      </c>
    </row>
    <row r="11" spans="1:12" ht="48" customHeight="1">
      <c r="A11" s="8">
        <v>2</v>
      </c>
      <c r="B11" s="3" t="s">
        <v>560</v>
      </c>
      <c r="C11" s="3" t="s">
        <v>1294</v>
      </c>
      <c r="D11" s="8">
        <v>5625</v>
      </c>
      <c r="E11" s="3" t="s">
        <v>1295</v>
      </c>
      <c r="F11" s="3" t="s">
        <v>1296</v>
      </c>
      <c r="G11" s="3" t="s">
        <v>1297</v>
      </c>
      <c r="H11" s="8">
        <v>1</v>
      </c>
      <c r="I11" s="3" t="s">
        <v>536</v>
      </c>
      <c r="J11" s="3" t="s">
        <v>1299</v>
      </c>
      <c r="K11" s="3" t="s">
        <v>85</v>
      </c>
      <c r="L11" s="3" t="s">
        <v>1300</v>
      </c>
    </row>
    <row r="12" spans="1:12" ht="48" customHeight="1">
      <c r="A12" s="9">
        <v>3</v>
      </c>
      <c r="B12" s="4" t="s">
        <v>572</v>
      </c>
      <c r="C12" s="4" t="s">
        <v>1294</v>
      </c>
      <c r="D12" s="9">
        <v>5546</v>
      </c>
      <c r="E12" s="4" t="s">
        <v>1295</v>
      </c>
      <c r="F12" s="4" t="s">
        <v>1296</v>
      </c>
      <c r="G12" s="4" t="s">
        <v>1297</v>
      </c>
      <c r="H12" s="9">
        <v>2</v>
      </c>
      <c r="I12" s="4" t="s">
        <v>1298</v>
      </c>
      <c r="J12" s="4" t="s">
        <v>85</v>
      </c>
      <c r="K12" s="4" t="s">
        <v>85</v>
      </c>
      <c r="L12" s="4" t="s">
        <v>85</v>
      </c>
    </row>
    <row r="13" spans="1:12" ht="48" customHeight="1">
      <c r="A13" s="8">
        <v>4</v>
      </c>
      <c r="B13" s="3" t="s">
        <v>939</v>
      </c>
      <c r="C13" s="3" t="s">
        <v>1294</v>
      </c>
      <c r="D13" s="8">
        <v>5694</v>
      </c>
      <c r="E13" s="3" t="s">
        <v>1295</v>
      </c>
      <c r="F13" s="3" t="s">
        <v>1296</v>
      </c>
      <c r="G13" s="3" t="s">
        <v>1297</v>
      </c>
      <c r="H13" s="8">
        <v>3</v>
      </c>
      <c r="I13" s="3" t="s">
        <v>1298</v>
      </c>
      <c r="J13" s="3" t="s">
        <v>85</v>
      </c>
      <c r="K13" s="3" t="s">
        <v>85</v>
      </c>
      <c r="L13" s="3" t="s">
        <v>85</v>
      </c>
    </row>
    <row r="14" spans="1:12" ht="48" customHeight="1">
      <c r="A14" s="9">
        <v>5</v>
      </c>
      <c r="B14" s="4" t="s">
        <v>949</v>
      </c>
      <c r="C14" s="4" t="s">
        <v>1294</v>
      </c>
      <c r="D14" s="9">
        <v>5619</v>
      </c>
      <c r="E14" s="4" t="s">
        <v>1295</v>
      </c>
      <c r="F14" s="4" t="s">
        <v>1296</v>
      </c>
      <c r="G14" s="4" t="s">
        <v>1297</v>
      </c>
      <c r="H14" s="9">
        <v>4</v>
      </c>
      <c r="I14" s="4" t="s">
        <v>572</v>
      </c>
      <c r="J14" s="4" t="s">
        <v>1301</v>
      </c>
      <c r="K14" s="4" t="s">
        <v>85</v>
      </c>
      <c r="L14" s="4" t="s">
        <v>85</v>
      </c>
    </row>
    <row r="15" spans="1:12" ht="48" customHeight="1">
      <c r="A15" s="8">
        <v>6</v>
      </c>
      <c r="B15" s="3" t="s">
        <v>960</v>
      </c>
      <c r="C15" s="3" t="s">
        <v>1294</v>
      </c>
      <c r="D15" s="8">
        <v>5639</v>
      </c>
      <c r="E15" s="3" t="s">
        <v>1295</v>
      </c>
      <c r="F15" s="3" t="s">
        <v>1296</v>
      </c>
      <c r="G15" s="3" t="s">
        <v>1297</v>
      </c>
      <c r="H15" s="8">
        <v>5</v>
      </c>
      <c r="I15" s="3" t="s">
        <v>949</v>
      </c>
      <c r="J15" s="3" t="s">
        <v>1302</v>
      </c>
      <c r="K15" s="3" t="s">
        <v>85</v>
      </c>
      <c r="L15" s="3" t="s">
        <v>85</v>
      </c>
    </row>
    <row r="16" spans="1:12" ht="48" customHeight="1">
      <c r="A16" s="9">
        <v>7</v>
      </c>
      <c r="B16" s="4" t="s">
        <v>971</v>
      </c>
      <c r="C16" s="4" t="s">
        <v>1294</v>
      </c>
      <c r="D16" s="9">
        <v>5673</v>
      </c>
      <c r="E16" s="4" t="s">
        <v>1295</v>
      </c>
      <c r="F16" s="4" t="s">
        <v>1296</v>
      </c>
      <c r="G16" s="4" t="s">
        <v>1297</v>
      </c>
      <c r="H16" s="9">
        <v>6</v>
      </c>
      <c r="I16" s="4" t="s">
        <v>1298</v>
      </c>
      <c r="J16" s="4" t="s">
        <v>85</v>
      </c>
      <c r="K16" s="4" t="s">
        <v>85</v>
      </c>
      <c r="L16" s="4" t="s">
        <v>85</v>
      </c>
    </row>
    <row r="17" spans="1:12" ht="48" customHeight="1">
      <c r="A17" s="8">
        <v>8</v>
      </c>
      <c r="B17" s="3" t="s">
        <v>1059</v>
      </c>
      <c r="C17" s="3" t="s">
        <v>1294</v>
      </c>
      <c r="D17" s="8">
        <v>5673</v>
      </c>
      <c r="E17" s="3" t="s">
        <v>1295</v>
      </c>
      <c r="F17" s="3" t="s">
        <v>1296</v>
      </c>
      <c r="G17" s="3" t="s">
        <v>1297</v>
      </c>
      <c r="H17" s="8">
        <v>7</v>
      </c>
      <c r="I17" s="3" t="s">
        <v>971</v>
      </c>
      <c r="J17" s="3" t="s">
        <v>1303</v>
      </c>
      <c r="K17" s="3" t="s">
        <v>85</v>
      </c>
      <c r="L17" s="3" t="s">
        <v>85</v>
      </c>
    </row>
    <row r="18" spans="1:12" ht="48" customHeight="1">
      <c r="A18" s="9">
        <v>9</v>
      </c>
      <c r="B18" s="4" t="s">
        <v>1065</v>
      </c>
      <c r="C18" s="4" t="s">
        <v>1294</v>
      </c>
      <c r="D18" s="9">
        <v>5637</v>
      </c>
      <c r="E18" s="4" t="s">
        <v>1295</v>
      </c>
      <c r="F18" s="4" t="s">
        <v>1296</v>
      </c>
      <c r="G18" s="4" t="s">
        <v>1297</v>
      </c>
      <c r="H18" s="9">
        <v>8</v>
      </c>
      <c r="I18" s="4" t="s">
        <v>1304</v>
      </c>
      <c r="J18" s="4" t="s">
        <v>1305</v>
      </c>
      <c r="K18" s="4" t="s">
        <v>85</v>
      </c>
      <c r="L18" s="4" t="s">
        <v>85</v>
      </c>
    </row>
    <row r="19" spans="1:12" ht="66" customHeight="1">
      <c r="A19" s="8">
        <v>10</v>
      </c>
      <c r="B19" s="3" t="s">
        <v>863</v>
      </c>
      <c r="C19" s="3" t="s">
        <v>1294</v>
      </c>
      <c r="D19" s="8">
        <v>5639</v>
      </c>
      <c r="E19" s="3" t="s">
        <v>1295</v>
      </c>
      <c r="F19" s="3" t="s">
        <v>1296</v>
      </c>
      <c r="G19" s="3" t="s">
        <v>1297</v>
      </c>
      <c r="H19" s="8">
        <v>9</v>
      </c>
      <c r="I19" s="3" t="s">
        <v>1306</v>
      </c>
      <c r="J19" s="3" t="s">
        <v>1307</v>
      </c>
      <c r="K19" s="3" t="s">
        <v>85</v>
      </c>
      <c r="L19" s="3" t="s">
        <v>85</v>
      </c>
    </row>
    <row r="20" spans="1:12" ht="48" customHeight="1">
      <c r="A20" s="9">
        <v>11</v>
      </c>
      <c r="B20" s="4" t="s">
        <v>869</v>
      </c>
      <c r="C20" s="4" t="s">
        <v>1294</v>
      </c>
      <c r="D20" s="9">
        <v>5523</v>
      </c>
      <c r="E20" s="4" t="s">
        <v>1295</v>
      </c>
      <c r="F20" s="4" t="s">
        <v>1296</v>
      </c>
      <c r="G20" s="4" t="s">
        <v>1297</v>
      </c>
      <c r="H20" s="9">
        <v>10</v>
      </c>
      <c r="I20" s="4" t="s">
        <v>1059</v>
      </c>
      <c r="J20" s="4" t="s">
        <v>1308</v>
      </c>
      <c r="K20" s="4" t="s">
        <v>85</v>
      </c>
      <c r="L20" s="4" t="s">
        <v>85</v>
      </c>
    </row>
    <row r="21" spans="1:12" ht="48" customHeight="1">
      <c r="A21" s="8">
        <v>12</v>
      </c>
      <c r="B21" s="3" t="s">
        <v>597</v>
      </c>
      <c r="C21" s="3" t="s">
        <v>1294</v>
      </c>
      <c r="D21" s="8">
        <v>5660</v>
      </c>
      <c r="E21" s="3" t="s">
        <v>1295</v>
      </c>
      <c r="F21" s="3" t="s">
        <v>1296</v>
      </c>
      <c r="G21" s="3" t="s">
        <v>1297</v>
      </c>
      <c r="H21" s="8">
        <v>11</v>
      </c>
      <c r="I21" s="3" t="s">
        <v>1065</v>
      </c>
      <c r="J21" s="3" t="s">
        <v>1309</v>
      </c>
      <c r="K21" s="3" t="s">
        <v>85</v>
      </c>
      <c r="L21" s="3" t="s">
        <v>85</v>
      </c>
    </row>
    <row r="22" spans="1:12" ht="48" customHeight="1">
      <c r="A22" s="9">
        <v>13</v>
      </c>
      <c r="B22" s="4" t="s">
        <v>1046</v>
      </c>
      <c r="C22" s="4" t="s">
        <v>1294</v>
      </c>
      <c r="D22" s="9">
        <v>5437</v>
      </c>
      <c r="E22" s="4" t="s">
        <v>1295</v>
      </c>
      <c r="F22" s="4" t="s">
        <v>1296</v>
      </c>
      <c r="G22" s="4" t="s">
        <v>1297</v>
      </c>
      <c r="H22" s="9">
        <v>12</v>
      </c>
      <c r="I22" s="4" t="s">
        <v>949</v>
      </c>
      <c r="J22" s="4" t="s">
        <v>1310</v>
      </c>
      <c r="K22" s="4" t="s">
        <v>85</v>
      </c>
      <c r="L22" s="4" t="s">
        <v>85</v>
      </c>
    </row>
    <row r="23" spans="1:12" ht="48" customHeight="1">
      <c r="A23" s="8">
        <v>14</v>
      </c>
      <c r="B23" s="3" t="s">
        <v>771</v>
      </c>
      <c r="C23" s="3" t="s">
        <v>1273</v>
      </c>
      <c r="D23" s="8">
        <v>6029</v>
      </c>
      <c r="E23" s="3" t="s">
        <v>1311</v>
      </c>
      <c r="F23" s="3" t="s">
        <v>1312</v>
      </c>
      <c r="G23" s="3" t="s">
        <v>1313</v>
      </c>
      <c r="H23" s="8">
        <v>13</v>
      </c>
      <c r="I23" s="3" t="s">
        <v>560</v>
      </c>
      <c r="J23" s="3" t="s">
        <v>1314</v>
      </c>
      <c r="K23" s="3" t="s">
        <v>85</v>
      </c>
      <c r="L23" s="3" t="s">
        <v>85</v>
      </c>
    </row>
    <row r="24" spans="1:12" ht="48" customHeight="1">
      <c r="A24" s="9">
        <v>15</v>
      </c>
      <c r="B24" s="4" t="s">
        <v>977</v>
      </c>
      <c r="C24" s="4" t="s">
        <v>1294</v>
      </c>
      <c r="D24" s="9">
        <v>4682</v>
      </c>
      <c r="E24" s="4" t="s">
        <v>1315</v>
      </c>
      <c r="F24" s="4" t="s">
        <v>1316</v>
      </c>
      <c r="G24" s="4" t="s">
        <v>1297</v>
      </c>
      <c r="H24" s="9">
        <v>13</v>
      </c>
      <c r="I24" s="4" t="s">
        <v>939</v>
      </c>
      <c r="J24" s="4" t="s">
        <v>1317</v>
      </c>
      <c r="K24" s="4" t="s">
        <v>85</v>
      </c>
      <c r="L24" s="4" t="s">
        <v>85</v>
      </c>
    </row>
    <row r="25" spans="1:12" ht="48" customHeight="1">
      <c r="A25" s="8">
        <v>16</v>
      </c>
      <c r="B25" s="3" t="s">
        <v>986</v>
      </c>
      <c r="C25" s="3" t="s">
        <v>1294</v>
      </c>
      <c r="D25" s="8">
        <v>4673</v>
      </c>
      <c r="E25" s="3" t="s">
        <v>1315</v>
      </c>
      <c r="F25" s="3" t="s">
        <v>1316</v>
      </c>
      <c r="G25" s="3" t="s">
        <v>1297</v>
      </c>
      <c r="H25" s="8">
        <v>14</v>
      </c>
      <c r="I25" s="3" t="s">
        <v>1318</v>
      </c>
      <c r="J25" s="3" t="s">
        <v>1319</v>
      </c>
      <c r="K25" s="3" t="s">
        <v>85</v>
      </c>
      <c r="L25" s="3" t="s">
        <v>85</v>
      </c>
    </row>
    <row r="26" spans="1:12" ht="48" customHeight="1">
      <c r="A26" s="9">
        <v>17</v>
      </c>
      <c r="B26" s="4" t="s">
        <v>1073</v>
      </c>
      <c r="C26" s="4" t="s">
        <v>1294</v>
      </c>
      <c r="D26" s="9">
        <v>4645</v>
      </c>
      <c r="E26" s="4" t="s">
        <v>1320</v>
      </c>
      <c r="F26" s="4" t="s">
        <v>1296</v>
      </c>
      <c r="G26" s="4" t="s">
        <v>1297</v>
      </c>
      <c r="H26" s="9">
        <v>13</v>
      </c>
      <c r="I26" s="4" t="s">
        <v>536</v>
      </c>
      <c r="J26" s="4" t="s">
        <v>1321</v>
      </c>
      <c r="K26" s="4" t="s">
        <v>85</v>
      </c>
      <c r="L26" s="4" t="s">
        <v>85</v>
      </c>
    </row>
    <row r="27" spans="1:12" ht="48" customHeight="1">
      <c r="A27" s="8">
        <v>18</v>
      </c>
      <c r="B27" s="3" t="s">
        <v>1008</v>
      </c>
      <c r="C27" s="3" t="s">
        <v>1294</v>
      </c>
      <c r="D27" s="8">
        <v>4573</v>
      </c>
      <c r="E27" s="3" t="s">
        <v>1320</v>
      </c>
      <c r="F27" s="3" t="s">
        <v>1296</v>
      </c>
      <c r="G27" s="3" t="s">
        <v>1297</v>
      </c>
      <c r="H27" s="8">
        <v>14</v>
      </c>
      <c r="I27" s="3" t="s">
        <v>1298</v>
      </c>
      <c r="J27" s="3" t="s">
        <v>85</v>
      </c>
      <c r="K27" s="3" t="s">
        <v>85</v>
      </c>
      <c r="L27" s="3" t="s">
        <v>85</v>
      </c>
    </row>
    <row r="28" spans="1:12" ht="48" customHeight="1">
      <c r="A28" s="9">
        <v>19</v>
      </c>
      <c r="B28" s="4" t="s">
        <v>871</v>
      </c>
      <c r="C28" s="4" t="s">
        <v>1294</v>
      </c>
      <c r="D28" s="9">
        <v>4502</v>
      </c>
      <c r="E28" s="4" t="s">
        <v>1322</v>
      </c>
      <c r="F28" s="4" t="s">
        <v>1323</v>
      </c>
      <c r="G28" s="4" t="s">
        <v>1297</v>
      </c>
      <c r="H28" s="9">
        <v>13</v>
      </c>
      <c r="I28" s="4" t="s">
        <v>1298</v>
      </c>
      <c r="J28" s="4" t="s">
        <v>85</v>
      </c>
      <c r="K28" s="4" t="s">
        <v>85</v>
      </c>
      <c r="L28" s="4" t="s">
        <v>85</v>
      </c>
    </row>
    <row r="29" spans="1:12" ht="48" customHeight="1">
      <c r="A29" s="8">
        <v>20</v>
      </c>
      <c r="B29" s="3" t="s">
        <v>995</v>
      </c>
      <c r="C29" s="3" t="s">
        <v>1294</v>
      </c>
      <c r="D29" s="8">
        <v>3639</v>
      </c>
      <c r="E29" s="3" t="s">
        <v>1324</v>
      </c>
      <c r="F29" s="3" t="s">
        <v>1325</v>
      </c>
      <c r="G29" s="3" t="s">
        <v>1297</v>
      </c>
      <c r="H29" s="8">
        <v>17</v>
      </c>
      <c r="I29" s="3" t="s">
        <v>1298</v>
      </c>
      <c r="J29" s="3" t="s">
        <v>85</v>
      </c>
      <c r="K29" s="3" t="s">
        <v>85</v>
      </c>
      <c r="L29" s="3" t="s">
        <v>85</v>
      </c>
    </row>
    <row r="30" spans="1:12" ht="48" customHeight="1">
      <c r="A30" s="9">
        <v>21</v>
      </c>
      <c r="B30" s="4" t="s">
        <v>1023</v>
      </c>
      <c r="C30" s="4" t="s">
        <v>1294</v>
      </c>
      <c r="D30" s="9">
        <v>3625</v>
      </c>
      <c r="E30" s="4" t="s">
        <v>1324</v>
      </c>
      <c r="F30" s="4" t="s">
        <v>1325</v>
      </c>
      <c r="G30" s="4" t="s">
        <v>1297</v>
      </c>
      <c r="H30" s="9">
        <v>18</v>
      </c>
      <c r="I30" s="4" t="s">
        <v>939</v>
      </c>
      <c r="J30" s="4" t="s">
        <v>1326</v>
      </c>
      <c r="K30" s="4" t="s">
        <v>85</v>
      </c>
      <c r="L30" s="4" t="s">
        <v>85</v>
      </c>
    </row>
    <row r="31" spans="1:12" ht="66" customHeight="1">
      <c r="A31" s="8">
        <v>22</v>
      </c>
      <c r="B31" s="3" t="s">
        <v>721</v>
      </c>
      <c r="C31" s="3" t="s">
        <v>1294</v>
      </c>
      <c r="D31" s="8">
        <v>3617</v>
      </c>
      <c r="E31" s="3" t="s">
        <v>1324</v>
      </c>
      <c r="F31" s="3" t="s">
        <v>1325</v>
      </c>
      <c r="G31" s="3" t="s">
        <v>1297</v>
      </c>
      <c r="H31" s="8">
        <v>19</v>
      </c>
      <c r="I31" s="3" t="s">
        <v>1298</v>
      </c>
      <c r="J31" s="3" t="s">
        <v>85</v>
      </c>
      <c r="K31" s="3" t="s">
        <v>1327</v>
      </c>
      <c r="L31" s="3" t="s">
        <v>1328</v>
      </c>
    </row>
    <row r="32" spans="1:12" ht="48" customHeight="1">
      <c r="A32" s="9">
        <v>23</v>
      </c>
      <c r="B32" s="4" t="s">
        <v>1036</v>
      </c>
      <c r="C32" s="4" t="s">
        <v>1294</v>
      </c>
      <c r="D32" s="9">
        <v>3587</v>
      </c>
      <c r="E32" s="4" t="s">
        <v>1324</v>
      </c>
      <c r="F32" s="4" t="s">
        <v>1325</v>
      </c>
      <c r="G32" s="4" t="s">
        <v>1297</v>
      </c>
      <c r="H32" s="9">
        <v>20</v>
      </c>
      <c r="I32" s="4" t="s">
        <v>1023</v>
      </c>
      <c r="J32" s="4" t="s">
        <v>1329</v>
      </c>
      <c r="K32" s="4" t="s">
        <v>85</v>
      </c>
      <c r="L32" s="4" t="s">
        <v>85</v>
      </c>
    </row>
    <row r="33" spans="1:12" ht="48" customHeight="1">
      <c r="A33" s="8">
        <v>24</v>
      </c>
      <c r="B33" s="3" t="s">
        <v>1087</v>
      </c>
      <c r="C33" s="3" t="s">
        <v>1294</v>
      </c>
      <c r="D33" s="8">
        <v>3497</v>
      </c>
      <c r="E33" s="3" t="s">
        <v>1324</v>
      </c>
      <c r="F33" s="3" t="s">
        <v>1325</v>
      </c>
      <c r="G33" s="3" t="s">
        <v>1297</v>
      </c>
      <c r="H33" s="8">
        <v>21</v>
      </c>
      <c r="I33" s="3" t="s">
        <v>1298</v>
      </c>
      <c r="J33" s="3" t="s">
        <v>85</v>
      </c>
      <c r="K33" s="3" t="s">
        <v>85</v>
      </c>
      <c r="L33" s="3" t="s">
        <v>85</v>
      </c>
    </row>
    <row r="34" spans="1:12" ht="48" customHeight="1">
      <c r="A34" s="9">
        <v>25</v>
      </c>
      <c r="B34" s="4" t="s">
        <v>1068</v>
      </c>
      <c r="C34" s="4" t="s">
        <v>1294</v>
      </c>
      <c r="D34" s="9">
        <v>3458</v>
      </c>
      <c r="E34" s="4" t="s">
        <v>1324</v>
      </c>
      <c r="F34" s="4" t="s">
        <v>1325</v>
      </c>
      <c r="G34" s="4" t="s">
        <v>1297</v>
      </c>
      <c r="H34" s="9">
        <v>22</v>
      </c>
      <c r="I34" s="4" t="s">
        <v>536</v>
      </c>
      <c r="J34" s="4" t="s">
        <v>1330</v>
      </c>
      <c r="K34" s="4" t="s">
        <v>85</v>
      </c>
      <c r="L34" s="4" t="s">
        <v>85</v>
      </c>
    </row>
    <row r="35" spans="1:12" ht="48" customHeight="1">
      <c r="A35" s="8">
        <v>26</v>
      </c>
      <c r="B35" s="3" t="s">
        <v>633</v>
      </c>
      <c r="C35" s="3" t="s">
        <v>1294</v>
      </c>
      <c r="D35" s="8">
        <v>2438</v>
      </c>
      <c r="E35" s="3" t="s">
        <v>1331</v>
      </c>
      <c r="F35" s="3" t="s">
        <v>1332</v>
      </c>
      <c r="G35" s="3" t="s">
        <v>1297</v>
      </c>
      <c r="H35" s="8">
        <v>24</v>
      </c>
      <c r="I35" s="3" t="s">
        <v>1298</v>
      </c>
      <c r="J35" s="3" t="s">
        <v>85</v>
      </c>
      <c r="K35" s="3" t="s">
        <v>85</v>
      </c>
      <c r="L35" s="3" t="s">
        <v>85</v>
      </c>
    </row>
    <row r="36" spans="1:12" ht="48" customHeight="1">
      <c r="A36" s="9">
        <v>27</v>
      </c>
      <c r="B36" s="4" t="s">
        <v>909</v>
      </c>
      <c r="C36" s="4" t="s">
        <v>1294</v>
      </c>
      <c r="D36" s="9">
        <v>2426</v>
      </c>
      <c r="E36" s="4" t="s">
        <v>1331</v>
      </c>
      <c r="F36" s="4" t="s">
        <v>1332</v>
      </c>
      <c r="G36" s="4" t="s">
        <v>1297</v>
      </c>
      <c r="H36" s="9">
        <v>25</v>
      </c>
      <c r="I36" s="4" t="s">
        <v>1298</v>
      </c>
      <c r="J36" s="4" t="s">
        <v>85</v>
      </c>
      <c r="K36" s="4" t="s">
        <v>85</v>
      </c>
      <c r="L36" s="4" t="s">
        <v>85</v>
      </c>
    </row>
    <row r="37" spans="1:12" ht="48" customHeight="1">
      <c r="A37" s="8">
        <v>28</v>
      </c>
      <c r="B37" s="3" t="s">
        <v>934</v>
      </c>
      <c r="C37" s="3" t="s">
        <v>1294</v>
      </c>
      <c r="D37" s="8">
        <v>2420</v>
      </c>
      <c r="E37" s="3" t="s">
        <v>1333</v>
      </c>
      <c r="F37" s="3" t="s">
        <v>1325</v>
      </c>
      <c r="G37" s="3" t="s">
        <v>1297</v>
      </c>
      <c r="H37" s="8">
        <v>23</v>
      </c>
      <c r="I37" s="3" t="s">
        <v>1298</v>
      </c>
      <c r="J37" s="3" t="s">
        <v>85</v>
      </c>
      <c r="K37" s="3" t="s">
        <v>85</v>
      </c>
      <c r="L37" s="3" t="s">
        <v>85</v>
      </c>
    </row>
    <row r="38" spans="1:12" ht="48" customHeight="1">
      <c r="A38" s="9">
        <v>29</v>
      </c>
      <c r="B38" s="4" t="s">
        <v>657</v>
      </c>
      <c r="C38" s="4" t="s">
        <v>1273</v>
      </c>
      <c r="D38" s="9">
        <v>2359</v>
      </c>
      <c r="E38" s="4" t="s">
        <v>1334</v>
      </c>
      <c r="F38" s="4" t="s">
        <v>1335</v>
      </c>
      <c r="G38" s="4" t="s">
        <v>1336</v>
      </c>
      <c r="H38" s="9">
        <v>15</v>
      </c>
      <c r="I38" s="4" t="s">
        <v>1337</v>
      </c>
      <c r="J38" s="4" t="s">
        <v>1338</v>
      </c>
      <c r="K38" s="4" t="s">
        <v>85</v>
      </c>
      <c r="L38" s="4" t="s">
        <v>1339</v>
      </c>
    </row>
    <row r="39" spans="1:12" ht="48" customHeight="1">
      <c r="A39" s="8">
        <v>30</v>
      </c>
      <c r="B39" s="3" t="s">
        <v>585</v>
      </c>
      <c r="C39" s="3" t="s">
        <v>1294</v>
      </c>
      <c r="D39" s="8">
        <v>2256</v>
      </c>
      <c r="E39" s="3" t="s">
        <v>1340</v>
      </c>
      <c r="F39" s="3" t="s">
        <v>1341</v>
      </c>
      <c r="G39" s="3" t="s">
        <v>1297</v>
      </c>
      <c r="H39" s="8">
        <v>16</v>
      </c>
      <c r="I39" s="3" t="s">
        <v>572</v>
      </c>
      <c r="J39" s="3" t="s">
        <v>1342</v>
      </c>
      <c r="K39" s="3" t="s">
        <v>85</v>
      </c>
      <c r="L39" s="3" t="s">
        <v>85</v>
      </c>
    </row>
    <row r="40" spans="1:12" ht="48" customHeight="1">
      <c r="A40" s="9">
        <v>31</v>
      </c>
      <c r="B40" s="4" t="s">
        <v>902</v>
      </c>
      <c r="C40" s="4" t="s">
        <v>1294</v>
      </c>
      <c r="D40" s="9">
        <v>2239</v>
      </c>
      <c r="E40" s="4" t="s">
        <v>1340</v>
      </c>
      <c r="F40" s="4" t="s">
        <v>1341</v>
      </c>
      <c r="G40" s="4" t="s">
        <v>1297</v>
      </c>
      <c r="H40" s="9">
        <v>17</v>
      </c>
      <c r="I40" s="4" t="s">
        <v>1298</v>
      </c>
      <c r="J40" s="4" t="s">
        <v>85</v>
      </c>
      <c r="K40" s="4" t="s">
        <v>85</v>
      </c>
      <c r="L40" s="4" t="s">
        <v>85</v>
      </c>
    </row>
    <row r="41" spans="1:12" ht="48" customHeight="1">
      <c r="A41" s="8">
        <v>32</v>
      </c>
      <c r="B41" s="3" t="s">
        <v>765</v>
      </c>
      <c r="C41" s="3" t="s">
        <v>1294</v>
      </c>
      <c r="D41" s="8">
        <v>2190</v>
      </c>
      <c r="E41" s="3" t="s">
        <v>1343</v>
      </c>
      <c r="F41" s="3" t="s">
        <v>1296</v>
      </c>
      <c r="G41" s="3" t="s">
        <v>1297</v>
      </c>
      <c r="H41" s="8">
        <v>15</v>
      </c>
      <c r="I41" s="3" t="s">
        <v>1298</v>
      </c>
      <c r="J41" s="3" t="s">
        <v>85</v>
      </c>
      <c r="K41" s="3" t="s">
        <v>85</v>
      </c>
      <c r="L41" s="3" t="s">
        <v>85</v>
      </c>
    </row>
    <row r="42" spans="1:12" ht="48" customHeight="1">
      <c r="A42" s="9">
        <v>33</v>
      </c>
      <c r="B42" s="4" t="s">
        <v>879</v>
      </c>
      <c r="C42" s="4" t="s">
        <v>1294</v>
      </c>
      <c r="D42" s="9">
        <v>2189</v>
      </c>
      <c r="E42" s="4" t="s">
        <v>1344</v>
      </c>
      <c r="F42" s="4" t="s">
        <v>1323</v>
      </c>
      <c r="G42" s="4" t="s">
        <v>1297</v>
      </c>
      <c r="H42" s="9">
        <v>16</v>
      </c>
      <c r="I42" s="4" t="s">
        <v>1298</v>
      </c>
      <c r="J42" s="4" t="s">
        <v>85</v>
      </c>
      <c r="K42" s="4" t="s">
        <v>85</v>
      </c>
      <c r="L42" s="4" t="s">
        <v>85</v>
      </c>
    </row>
    <row r="43" spans="1:12" ht="84" customHeight="1">
      <c r="A43" s="8">
        <v>34</v>
      </c>
      <c r="B43" s="3" t="s">
        <v>887</v>
      </c>
      <c r="C43" s="3" t="s">
        <v>1294</v>
      </c>
      <c r="D43" s="8">
        <v>2065</v>
      </c>
      <c r="E43" s="3" t="s">
        <v>1345</v>
      </c>
      <c r="F43" s="3" t="s">
        <v>1335</v>
      </c>
      <c r="G43" s="3" t="s">
        <v>1297</v>
      </c>
      <c r="H43" s="8">
        <v>14</v>
      </c>
      <c r="I43" s="3" t="s">
        <v>572</v>
      </c>
      <c r="J43" s="3" t="s">
        <v>1346</v>
      </c>
      <c r="K43" s="3" t="s">
        <v>1347</v>
      </c>
      <c r="L43" s="3" t="s">
        <v>1348</v>
      </c>
    </row>
    <row r="44" spans="1:12" ht="48" customHeight="1">
      <c r="A44" s="9">
        <v>35</v>
      </c>
      <c r="B44" s="4" t="s">
        <v>628</v>
      </c>
      <c r="C44" s="4" t="s">
        <v>1294</v>
      </c>
      <c r="D44" s="9">
        <v>2016</v>
      </c>
      <c r="E44" s="4" t="s">
        <v>1345</v>
      </c>
      <c r="F44" s="4" t="s">
        <v>1335</v>
      </c>
      <c r="G44" s="4" t="s">
        <v>1297</v>
      </c>
      <c r="H44" s="9">
        <v>15</v>
      </c>
      <c r="I44" s="4" t="s">
        <v>1298</v>
      </c>
      <c r="J44" s="4" t="s">
        <v>85</v>
      </c>
      <c r="K44" s="4" t="s">
        <v>85</v>
      </c>
      <c r="L44" s="4" t="s">
        <v>85</v>
      </c>
    </row>
    <row r="45" spans="1:12" ht="48" customHeight="1">
      <c r="A45" s="8">
        <v>36</v>
      </c>
      <c r="B45" s="3" t="s">
        <v>758</v>
      </c>
      <c r="C45" s="3" t="s">
        <v>1294</v>
      </c>
      <c r="D45" s="8">
        <v>1629</v>
      </c>
      <c r="E45" s="3" t="s">
        <v>1349</v>
      </c>
      <c r="F45" s="3" t="s">
        <v>1296</v>
      </c>
      <c r="G45" s="3" t="s">
        <v>1297</v>
      </c>
      <c r="H45" s="8">
        <v>15</v>
      </c>
      <c r="I45" s="3" t="s">
        <v>572</v>
      </c>
      <c r="J45" s="3" t="s">
        <v>1350</v>
      </c>
      <c r="K45" s="3" t="s">
        <v>85</v>
      </c>
      <c r="L45" s="3" t="s">
        <v>85</v>
      </c>
    </row>
    <row r="46" spans="1:12" ht="48" customHeight="1">
      <c r="A46" s="9">
        <v>37</v>
      </c>
      <c r="B46" s="4" t="s">
        <v>804</v>
      </c>
      <c r="C46" s="4" t="s">
        <v>1273</v>
      </c>
      <c r="D46" s="9">
        <v>1509</v>
      </c>
      <c r="E46" s="4" t="s">
        <v>1351</v>
      </c>
      <c r="F46" s="4" t="s">
        <v>1352</v>
      </c>
      <c r="G46" s="4" t="s">
        <v>1313</v>
      </c>
      <c r="H46" s="9">
        <v>17</v>
      </c>
      <c r="I46" s="4" t="s">
        <v>633</v>
      </c>
      <c r="J46" s="4" t="s">
        <v>1353</v>
      </c>
      <c r="K46" s="4" t="s">
        <v>85</v>
      </c>
      <c r="L46" s="4" t="s">
        <v>85</v>
      </c>
    </row>
    <row r="47" spans="1:12" ht="48" customHeight="1">
      <c r="A47" s="8">
        <v>38</v>
      </c>
      <c r="B47" s="3" t="s">
        <v>822</v>
      </c>
      <c r="C47" s="3" t="s">
        <v>1273</v>
      </c>
      <c r="D47" s="8">
        <v>1453</v>
      </c>
      <c r="E47" s="3" t="s">
        <v>1354</v>
      </c>
      <c r="F47" s="3" t="s">
        <v>1355</v>
      </c>
      <c r="G47" s="3" t="s">
        <v>1313</v>
      </c>
      <c r="H47" s="8">
        <v>18</v>
      </c>
      <c r="I47" s="3" t="s">
        <v>1298</v>
      </c>
      <c r="J47" s="3" t="s">
        <v>85</v>
      </c>
      <c r="K47" s="3" t="s">
        <v>85</v>
      </c>
      <c r="L47" s="3" t="s">
        <v>85</v>
      </c>
    </row>
    <row r="48" spans="1:12" ht="48" customHeight="1">
      <c r="A48" s="9">
        <v>39</v>
      </c>
      <c r="B48" s="4" t="s">
        <v>824</v>
      </c>
      <c r="C48" s="4" t="s">
        <v>1273</v>
      </c>
      <c r="D48" s="9">
        <v>1419</v>
      </c>
      <c r="E48" s="4" t="s">
        <v>1356</v>
      </c>
      <c r="F48" s="4" t="s">
        <v>1357</v>
      </c>
      <c r="G48" s="4" t="s">
        <v>1313</v>
      </c>
      <c r="H48" s="9">
        <v>14</v>
      </c>
      <c r="I48" s="4" t="s">
        <v>1298</v>
      </c>
      <c r="J48" s="4" t="s">
        <v>85</v>
      </c>
      <c r="K48" s="4" t="s">
        <v>85</v>
      </c>
      <c r="L48" s="4" t="s">
        <v>85</v>
      </c>
    </row>
    <row r="49" spans="1:12" ht="48" customHeight="1">
      <c r="A49" s="8">
        <v>40</v>
      </c>
      <c r="B49" s="3" t="s">
        <v>832</v>
      </c>
      <c r="C49" s="3" t="s">
        <v>1273</v>
      </c>
      <c r="D49" s="8">
        <v>1418</v>
      </c>
      <c r="E49" s="3" t="s">
        <v>1356</v>
      </c>
      <c r="F49" s="3" t="s">
        <v>1357</v>
      </c>
      <c r="G49" s="3" t="s">
        <v>1313</v>
      </c>
      <c r="H49" s="8">
        <v>15</v>
      </c>
      <c r="I49" s="3" t="s">
        <v>824</v>
      </c>
      <c r="J49" s="3" t="s">
        <v>1358</v>
      </c>
      <c r="K49" s="3" t="s">
        <v>85</v>
      </c>
      <c r="L49" s="3" t="s">
        <v>85</v>
      </c>
    </row>
    <row r="50" spans="1:12" ht="48" customHeight="1">
      <c r="A50" s="9">
        <v>41</v>
      </c>
      <c r="B50" s="4" t="s">
        <v>838</v>
      </c>
      <c r="C50" s="4" t="s">
        <v>1273</v>
      </c>
      <c r="D50" s="9">
        <v>1417</v>
      </c>
      <c r="E50" s="4" t="s">
        <v>1356</v>
      </c>
      <c r="F50" s="4" t="s">
        <v>1357</v>
      </c>
      <c r="G50" s="4" t="s">
        <v>1313</v>
      </c>
      <c r="H50" s="9">
        <v>16</v>
      </c>
      <c r="I50" s="4" t="s">
        <v>1298</v>
      </c>
      <c r="J50" s="4" t="s">
        <v>85</v>
      </c>
      <c r="K50" s="4" t="s">
        <v>85</v>
      </c>
      <c r="L50" s="4" t="s">
        <v>85</v>
      </c>
    </row>
    <row r="51" spans="1:12" ht="48" customHeight="1">
      <c r="A51" s="8">
        <v>42</v>
      </c>
      <c r="B51" s="3" t="s">
        <v>846</v>
      </c>
      <c r="C51" s="3" t="s">
        <v>1273</v>
      </c>
      <c r="D51" s="8">
        <v>1417</v>
      </c>
      <c r="E51" s="3" t="s">
        <v>1356</v>
      </c>
      <c r="F51" s="3" t="s">
        <v>1357</v>
      </c>
      <c r="G51" s="3" t="s">
        <v>1313</v>
      </c>
      <c r="H51" s="8">
        <v>17</v>
      </c>
      <c r="I51" s="3" t="s">
        <v>1298</v>
      </c>
      <c r="J51" s="3" t="s">
        <v>85</v>
      </c>
      <c r="K51" s="3" t="s">
        <v>85</v>
      </c>
      <c r="L51" s="3" t="s">
        <v>85</v>
      </c>
    </row>
    <row r="52" spans="1:12" ht="48" customHeight="1">
      <c r="A52" s="9">
        <v>43</v>
      </c>
      <c r="B52" s="4" t="s">
        <v>830</v>
      </c>
      <c r="C52" s="4" t="s">
        <v>1273</v>
      </c>
      <c r="D52" s="9">
        <v>1415</v>
      </c>
      <c r="E52" s="4" t="s">
        <v>1356</v>
      </c>
      <c r="F52" s="4" t="s">
        <v>1357</v>
      </c>
      <c r="G52" s="4" t="s">
        <v>1313</v>
      </c>
      <c r="H52" s="9">
        <v>18</v>
      </c>
      <c r="I52" s="4" t="s">
        <v>560</v>
      </c>
      <c r="J52" s="4" t="s">
        <v>1359</v>
      </c>
      <c r="K52" s="4" t="s">
        <v>85</v>
      </c>
      <c r="L52" s="4" t="s">
        <v>85</v>
      </c>
    </row>
    <row r="53" spans="1:12" ht="48" customHeight="1">
      <c r="A53" s="8">
        <v>44</v>
      </c>
      <c r="B53" s="3" t="s">
        <v>820</v>
      </c>
      <c r="C53" s="3" t="s">
        <v>1273</v>
      </c>
      <c r="D53" s="8">
        <v>1336</v>
      </c>
      <c r="E53" s="3" t="s">
        <v>1354</v>
      </c>
      <c r="F53" s="3" t="s">
        <v>1355</v>
      </c>
      <c r="G53" s="3" t="s">
        <v>1313</v>
      </c>
      <c r="H53" s="8">
        <v>19</v>
      </c>
      <c r="I53" s="3" t="s">
        <v>822</v>
      </c>
      <c r="J53" s="3" t="s">
        <v>1360</v>
      </c>
      <c r="K53" s="3" t="s">
        <v>85</v>
      </c>
      <c r="L53" s="3" t="s">
        <v>85</v>
      </c>
    </row>
    <row r="54" spans="1:12" ht="48" customHeight="1">
      <c r="A54" s="9">
        <v>45</v>
      </c>
      <c r="B54" s="4" t="s">
        <v>811</v>
      </c>
      <c r="C54" s="4" t="s">
        <v>1273</v>
      </c>
      <c r="D54" s="9">
        <v>1334</v>
      </c>
      <c r="E54" s="4" t="s">
        <v>1354</v>
      </c>
      <c r="F54" s="4" t="s">
        <v>1355</v>
      </c>
      <c r="G54" s="4" t="s">
        <v>1313</v>
      </c>
      <c r="H54" s="9">
        <v>20</v>
      </c>
      <c r="I54" s="4" t="s">
        <v>820</v>
      </c>
      <c r="J54" s="4" t="s">
        <v>1361</v>
      </c>
      <c r="K54" s="4" t="s">
        <v>85</v>
      </c>
      <c r="L54" s="4" t="s">
        <v>85</v>
      </c>
    </row>
    <row r="55" spans="1:12" ht="48" customHeight="1">
      <c r="A55" s="8">
        <v>46</v>
      </c>
      <c r="B55" s="3" t="s">
        <v>852</v>
      </c>
      <c r="C55" s="3" t="s">
        <v>1273</v>
      </c>
      <c r="D55" s="8">
        <v>1302</v>
      </c>
      <c r="E55" s="3" t="s">
        <v>1362</v>
      </c>
      <c r="F55" s="3" t="s">
        <v>1363</v>
      </c>
      <c r="G55" s="3" t="s">
        <v>1313</v>
      </c>
      <c r="H55" s="8">
        <v>15</v>
      </c>
      <c r="I55" s="3" t="s">
        <v>1364</v>
      </c>
      <c r="J55" s="3" t="s">
        <v>1365</v>
      </c>
      <c r="K55" s="3" t="s">
        <v>85</v>
      </c>
      <c r="L55" s="3" t="s">
        <v>85</v>
      </c>
    </row>
    <row r="56" spans="1:12" ht="48" customHeight="1">
      <c r="A56" s="9">
        <v>47</v>
      </c>
      <c r="B56" s="4" t="s">
        <v>859</v>
      </c>
      <c r="C56" s="4" t="s">
        <v>1273</v>
      </c>
      <c r="D56" s="9">
        <v>1298</v>
      </c>
      <c r="E56" s="4" t="s">
        <v>1362</v>
      </c>
      <c r="F56" s="4" t="s">
        <v>1363</v>
      </c>
      <c r="G56" s="4" t="s">
        <v>1313</v>
      </c>
      <c r="H56" s="9">
        <v>16</v>
      </c>
      <c r="I56" s="4" t="s">
        <v>1366</v>
      </c>
      <c r="J56" s="4" t="s">
        <v>1367</v>
      </c>
      <c r="K56" s="4" t="s">
        <v>85</v>
      </c>
      <c r="L56" s="4" t="s">
        <v>85</v>
      </c>
    </row>
    <row r="57" spans="1:12" ht="66" customHeight="1">
      <c r="A57" s="8">
        <v>48</v>
      </c>
      <c r="B57" s="3" t="s">
        <v>861</v>
      </c>
      <c r="C57" s="3" t="s">
        <v>1273</v>
      </c>
      <c r="D57" s="8">
        <v>1281</v>
      </c>
      <c r="E57" s="3" t="s">
        <v>1362</v>
      </c>
      <c r="F57" s="3" t="s">
        <v>1363</v>
      </c>
      <c r="G57" s="3" t="s">
        <v>1313</v>
      </c>
      <c r="H57" s="8">
        <v>18</v>
      </c>
      <c r="I57" s="3" t="s">
        <v>1368</v>
      </c>
      <c r="J57" s="3" t="s">
        <v>1369</v>
      </c>
      <c r="K57" s="3" t="s">
        <v>85</v>
      </c>
      <c r="L57" s="3" t="s">
        <v>85</v>
      </c>
    </row>
    <row r="58" spans="1:12" ht="48" customHeight="1">
      <c r="A58" s="9">
        <v>49</v>
      </c>
      <c r="B58" s="4" t="s">
        <v>697</v>
      </c>
      <c r="C58" s="4" t="s">
        <v>1294</v>
      </c>
      <c r="D58" s="9">
        <v>1229</v>
      </c>
      <c r="E58" s="4" t="s">
        <v>1370</v>
      </c>
      <c r="F58" s="4" t="s">
        <v>1332</v>
      </c>
      <c r="G58" s="4" t="s">
        <v>1297</v>
      </c>
      <c r="H58" s="9">
        <v>28</v>
      </c>
      <c r="I58" s="4" t="s">
        <v>977</v>
      </c>
      <c r="J58" s="4" t="s">
        <v>1371</v>
      </c>
      <c r="K58" s="4" t="s">
        <v>85</v>
      </c>
      <c r="L58" s="4" t="s">
        <v>85</v>
      </c>
    </row>
    <row r="59" spans="1:12" ht="48" customHeight="1">
      <c r="A59" s="8">
        <v>50</v>
      </c>
      <c r="B59" s="3" t="s">
        <v>1019</v>
      </c>
      <c r="C59" s="3" t="s">
        <v>1294</v>
      </c>
      <c r="D59" s="8">
        <v>1228</v>
      </c>
      <c r="E59" s="3" t="s">
        <v>1370</v>
      </c>
      <c r="F59" s="3" t="s">
        <v>1332</v>
      </c>
      <c r="G59" s="3" t="s">
        <v>1297</v>
      </c>
      <c r="H59" s="8">
        <v>29</v>
      </c>
      <c r="I59" s="3" t="s">
        <v>871</v>
      </c>
      <c r="J59" s="3" t="s">
        <v>1372</v>
      </c>
      <c r="K59" s="3" t="s">
        <v>85</v>
      </c>
      <c r="L59" s="3" t="s">
        <v>85</v>
      </c>
    </row>
    <row r="60" spans="1:12" ht="48" customHeight="1">
      <c r="A60" s="9">
        <v>51</v>
      </c>
      <c r="B60" s="4" t="s">
        <v>677</v>
      </c>
      <c r="C60" s="4" t="s">
        <v>1294</v>
      </c>
      <c r="D60" s="9">
        <v>1223</v>
      </c>
      <c r="E60" s="4" t="s">
        <v>1370</v>
      </c>
      <c r="F60" s="4" t="s">
        <v>1332</v>
      </c>
      <c r="G60" s="4" t="s">
        <v>1297</v>
      </c>
      <c r="H60" s="9">
        <v>30</v>
      </c>
      <c r="I60" s="4" t="s">
        <v>560</v>
      </c>
      <c r="J60" s="4" t="s">
        <v>1373</v>
      </c>
      <c r="K60" s="4" t="s">
        <v>1374</v>
      </c>
      <c r="L60" s="4" t="s">
        <v>85</v>
      </c>
    </row>
    <row r="61" spans="1:12" ht="48" customHeight="1">
      <c r="A61" s="8">
        <v>52</v>
      </c>
      <c r="B61" s="3" t="s">
        <v>1082</v>
      </c>
      <c r="C61" s="3" t="s">
        <v>1294</v>
      </c>
      <c r="D61" s="8">
        <v>1221</v>
      </c>
      <c r="E61" s="3" t="s">
        <v>1370</v>
      </c>
      <c r="F61" s="3" t="s">
        <v>1332</v>
      </c>
      <c r="G61" s="3" t="s">
        <v>1297</v>
      </c>
      <c r="H61" s="8">
        <v>31</v>
      </c>
      <c r="I61" s="3" t="s">
        <v>934</v>
      </c>
      <c r="J61" s="3" t="s">
        <v>1375</v>
      </c>
      <c r="K61" s="3" t="s">
        <v>85</v>
      </c>
      <c r="L61" s="3" t="s">
        <v>85</v>
      </c>
    </row>
    <row r="62" spans="1:12" ht="48" customHeight="1">
      <c r="A62" s="9">
        <v>53</v>
      </c>
      <c r="B62" s="4" t="s">
        <v>685</v>
      </c>
      <c r="C62" s="4" t="s">
        <v>1294</v>
      </c>
      <c r="D62" s="9">
        <v>1210</v>
      </c>
      <c r="E62" s="4" t="s">
        <v>1376</v>
      </c>
      <c r="F62" s="4" t="s">
        <v>1377</v>
      </c>
      <c r="G62" s="4" t="s">
        <v>1297</v>
      </c>
      <c r="H62" s="9">
        <v>28</v>
      </c>
      <c r="I62" s="4" t="s">
        <v>1298</v>
      </c>
      <c r="J62" s="4" t="s">
        <v>85</v>
      </c>
      <c r="K62" s="4" t="s">
        <v>85</v>
      </c>
      <c r="L62" s="4" t="s">
        <v>85</v>
      </c>
    </row>
    <row r="63" spans="1:12" ht="48" customHeight="1">
      <c r="A63" s="8">
        <v>54</v>
      </c>
      <c r="B63" s="3" t="s">
        <v>916</v>
      </c>
      <c r="C63" s="3" t="s">
        <v>1294</v>
      </c>
      <c r="D63" s="8">
        <v>1209</v>
      </c>
      <c r="E63" s="3" t="s">
        <v>1376</v>
      </c>
      <c r="F63" s="3" t="s">
        <v>1377</v>
      </c>
      <c r="G63" s="3" t="s">
        <v>1297</v>
      </c>
      <c r="H63" s="8">
        <v>29</v>
      </c>
      <c r="I63" s="3" t="s">
        <v>1298</v>
      </c>
      <c r="J63" s="3" t="s">
        <v>85</v>
      </c>
      <c r="K63" s="3" t="s">
        <v>85</v>
      </c>
      <c r="L63" s="3" t="s">
        <v>85</v>
      </c>
    </row>
    <row r="64" spans="1:12" ht="48" customHeight="1">
      <c r="A64" s="9">
        <v>55</v>
      </c>
      <c r="B64" s="4" t="s">
        <v>921</v>
      </c>
      <c r="C64" s="4" t="s">
        <v>1294</v>
      </c>
      <c r="D64" s="9">
        <v>1206</v>
      </c>
      <c r="E64" s="4" t="s">
        <v>1376</v>
      </c>
      <c r="F64" s="4" t="s">
        <v>1377</v>
      </c>
      <c r="G64" s="4" t="s">
        <v>1297</v>
      </c>
      <c r="H64" s="9">
        <v>30</v>
      </c>
      <c r="I64" s="4" t="s">
        <v>1378</v>
      </c>
      <c r="J64" s="4" t="s">
        <v>1379</v>
      </c>
      <c r="K64" s="4" t="s">
        <v>85</v>
      </c>
      <c r="L64" s="4" t="s">
        <v>85</v>
      </c>
    </row>
    <row r="65" spans="1:12" ht="48" customHeight="1">
      <c r="A65" s="8">
        <v>56</v>
      </c>
      <c r="B65" s="3" t="s">
        <v>642</v>
      </c>
      <c r="C65" s="3" t="s">
        <v>1294</v>
      </c>
      <c r="D65" s="8">
        <v>1203</v>
      </c>
      <c r="E65" s="3" t="s">
        <v>1380</v>
      </c>
      <c r="F65" s="3" t="s">
        <v>1325</v>
      </c>
      <c r="G65" s="3" t="s">
        <v>1297</v>
      </c>
      <c r="H65" s="8">
        <v>25</v>
      </c>
      <c r="I65" s="3" t="s">
        <v>1298</v>
      </c>
      <c r="J65" s="3" t="s">
        <v>85</v>
      </c>
      <c r="K65" s="3" t="s">
        <v>85</v>
      </c>
      <c r="L65" s="3" t="s">
        <v>85</v>
      </c>
    </row>
    <row r="66" spans="1:12" ht="48" customHeight="1">
      <c r="A66" s="9">
        <v>57</v>
      </c>
      <c r="B66" s="4" t="s">
        <v>707</v>
      </c>
      <c r="C66" s="4" t="s">
        <v>1294</v>
      </c>
      <c r="D66" s="9">
        <v>1202</v>
      </c>
      <c r="E66" s="4" t="s">
        <v>1380</v>
      </c>
      <c r="F66" s="4" t="s">
        <v>1325</v>
      </c>
      <c r="G66" s="4" t="s">
        <v>1297</v>
      </c>
      <c r="H66" s="9">
        <v>26</v>
      </c>
      <c r="I66" s="4" t="s">
        <v>1318</v>
      </c>
      <c r="J66" s="4" t="s">
        <v>1381</v>
      </c>
      <c r="K66" s="4" t="s">
        <v>1382</v>
      </c>
      <c r="L66" s="4" t="s">
        <v>85</v>
      </c>
    </row>
    <row r="67" spans="1:12" ht="48" customHeight="1">
      <c r="A67" s="8">
        <v>58</v>
      </c>
      <c r="B67" s="3" t="s">
        <v>731</v>
      </c>
      <c r="C67" s="3" t="s">
        <v>1294</v>
      </c>
      <c r="D67" s="8">
        <v>1202</v>
      </c>
      <c r="E67" s="3" t="s">
        <v>1380</v>
      </c>
      <c r="F67" s="3" t="s">
        <v>1325</v>
      </c>
      <c r="G67" s="3" t="s">
        <v>1297</v>
      </c>
      <c r="H67" s="8">
        <v>27</v>
      </c>
      <c r="I67" s="3" t="s">
        <v>1298</v>
      </c>
      <c r="J67" s="3" t="s">
        <v>85</v>
      </c>
      <c r="K67" s="3" t="s">
        <v>1383</v>
      </c>
      <c r="L67" s="3" t="s">
        <v>1384</v>
      </c>
    </row>
    <row r="68" spans="1:12" ht="48" customHeight="1">
      <c r="A68" s="9">
        <v>59</v>
      </c>
      <c r="B68" s="4" t="s">
        <v>752</v>
      </c>
      <c r="C68" s="4" t="s">
        <v>1294</v>
      </c>
      <c r="D68" s="9">
        <v>1201</v>
      </c>
      <c r="E68" s="4" t="s">
        <v>1380</v>
      </c>
      <c r="F68" s="4" t="s">
        <v>1325</v>
      </c>
      <c r="G68" s="4" t="s">
        <v>1297</v>
      </c>
      <c r="H68" s="9">
        <v>28</v>
      </c>
      <c r="I68" s="4" t="s">
        <v>1385</v>
      </c>
      <c r="J68" s="4" t="s">
        <v>1386</v>
      </c>
      <c r="K68" s="4" t="s">
        <v>85</v>
      </c>
      <c r="L68" s="4" t="s">
        <v>85</v>
      </c>
    </row>
    <row r="69" spans="1:12" ht="48" customHeight="1">
      <c r="A69" s="8">
        <v>60</v>
      </c>
      <c r="B69" s="3" t="s">
        <v>635</v>
      </c>
      <c r="C69" s="3" t="s">
        <v>1294</v>
      </c>
      <c r="D69" s="8">
        <v>1200</v>
      </c>
      <c r="E69" s="3" t="s">
        <v>1380</v>
      </c>
      <c r="F69" s="3" t="s">
        <v>1325</v>
      </c>
      <c r="G69" s="3" t="s">
        <v>1297</v>
      </c>
      <c r="H69" s="8">
        <v>29</v>
      </c>
      <c r="I69" s="3" t="s">
        <v>1387</v>
      </c>
      <c r="J69" s="3" t="s">
        <v>1388</v>
      </c>
      <c r="K69" s="3" t="s">
        <v>85</v>
      </c>
      <c r="L69" s="3" t="s">
        <v>85</v>
      </c>
    </row>
    <row r="70" spans="1:12" ht="48" customHeight="1">
      <c r="A70" s="9">
        <v>61</v>
      </c>
      <c r="B70" s="4" t="s">
        <v>928</v>
      </c>
      <c r="C70" s="4" t="s">
        <v>1294</v>
      </c>
      <c r="D70" s="9">
        <v>1200</v>
      </c>
      <c r="E70" s="4" t="s">
        <v>1380</v>
      </c>
      <c r="F70" s="4" t="s">
        <v>1325</v>
      </c>
      <c r="G70" s="4" t="s">
        <v>1297</v>
      </c>
      <c r="H70" s="9">
        <v>30</v>
      </c>
      <c r="I70" s="4" t="s">
        <v>1389</v>
      </c>
      <c r="J70" s="4" t="s">
        <v>1390</v>
      </c>
      <c r="K70" s="4" t="s">
        <v>85</v>
      </c>
      <c r="L70" s="4" t="s">
        <v>85</v>
      </c>
    </row>
    <row r="71" spans="1:12" ht="48" customHeight="1">
      <c r="A71" s="8">
        <v>62</v>
      </c>
      <c r="B71" s="3" t="s">
        <v>715</v>
      </c>
      <c r="C71" s="3" t="s">
        <v>1294</v>
      </c>
      <c r="D71" s="8">
        <v>1197</v>
      </c>
      <c r="E71" s="3" t="s">
        <v>1380</v>
      </c>
      <c r="F71" s="3" t="s">
        <v>1325</v>
      </c>
      <c r="G71" s="3" t="s">
        <v>1297</v>
      </c>
      <c r="H71" s="8">
        <v>31</v>
      </c>
      <c r="I71" s="3" t="s">
        <v>1391</v>
      </c>
      <c r="J71" s="3" t="s">
        <v>1392</v>
      </c>
      <c r="K71" s="3" t="s">
        <v>1393</v>
      </c>
      <c r="L71" s="3" t="s">
        <v>85</v>
      </c>
    </row>
    <row r="72" spans="1:12" ht="48" customHeight="1">
      <c r="A72" s="9">
        <v>63</v>
      </c>
      <c r="B72" s="4" t="s">
        <v>796</v>
      </c>
      <c r="C72" s="4" t="s">
        <v>1294</v>
      </c>
      <c r="D72" s="9">
        <v>1046</v>
      </c>
      <c r="E72" s="4" t="s">
        <v>1394</v>
      </c>
      <c r="F72" s="4" t="s">
        <v>1341</v>
      </c>
      <c r="G72" s="4" t="s">
        <v>1297</v>
      </c>
      <c r="H72" s="9">
        <v>20</v>
      </c>
      <c r="I72" s="4" t="s">
        <v>1298</v>
      </c>
      <c r="J72" s="4" t="s">
        <v>85</v>
      </c>
      <c r="K72" s="4" t="s">
        <v>85</v>
      </c>
      <c r="L72" s="4" t="s">
        <v>85</v>
      </c>
    </row>
    <row r="73" spans="1:12" ht="48" customHeight="1">
      <c r="A73" s="8">
        <v>64</v>
      </c>
      <c r="B73" s="3" t="s">
        <v>1096</v>
      </c>
      <c r="C73" s="3" t="s">
        <v>1294</v>
      </c>
      <c r="D73" s="8">
        <v>1045</v>
      </c>
      <c r="E73" s="3" t="s">
        <v>1394</v>
      </c>
      <c r="F73" s="3" t="s">
        <v>1341</v>
      </c>
      <c r="G73" s="3" t="s">
        <v>1297</v>
      </c>
      <c r="H73" s="8">
        <v>21</v>
      </c>
      <c r="I73" s="3" t="s">
        <v>871</v>
      </c>
      <c r="J73" s="3" t="s">
        <v>1395</v>
      </c>
      <c r="K73" s="3" t="s">
        <v>85</v>
      </c>
      <c r="L73" s="3" t="s">
        <v>85</v>
      </c>
    </row>
    <row r="74" spans="1:12" ht="48" customHeight="1">
      <c r="A74" s="9">
        <v>65</v>
      </c>
      <c r="B74" s="4" t="s">
        <v>786</v>
      </c>
      <c r="C74" s="4" t="s">
        <v>1294</v>
      </c>
      <c r="D74" s="9">
        <v>1044</v>
      </c>
      <c r="E74" s="4" t="s">
        <v>1394</v>
      </c>
      <c r="F74" s="4" t="s">
        <v>1341</v>
      </c>
      <c r="G74" s="4" t="s">
        <v>1297</v>
      </c>
      <c r="H74" s="9">
        <v>22</v>
      </c>
      <c r="I74" s="4" t="s">
        <v>1298</v>
      </c>
      <c r="J74" s="4" t="s">
        <v>85</v>
      </c>
      <c r="K74" s="4" t="s">
        <v>85</v>
      </c>
      <c r="L74" s="4" t="s">
        <v>85</v>
      </c>
    </row>
    <row r="75" spans="1:12" ht="48" customHeight="1">
      <c r="A75" s="8">
        <v>66</v>
      </c>
      <c r="B75" s="3" t="s">
        <v>607</v>
      </c>
      <c r="C75" s="3" t="s">
        <v>1294</v>
      </c>
      <c r="D75" s="8">
        <v>1021</v>
      </c>
      <c r="E75" s="3" t="s">
        <v>1396</v>
      </c>
      <c r="F75" s="3" t="s">
        <v>1335</v>
      </c>
      <c r="G75" s="3" t="s">
        <v>1297</v>
      </c>
      <c r="H75" s="8">
        <v>21</v>
      </c>
      <c r="I75" s="3" t="s">
        <v>871</v>
      </c>
      <c r="J75" s="3" t="s">
        <v>1397</v>
      </c>
      <c r="K75" s="3" t="s">
        <v>85</v>
      </c>
      <c r="L75" s="3" t="s">
        <v>85</v>
      </c>
    </row>
    <row r="76" spans="1:12" ht="48" customHeight="1">
      <c r="A76" s="9">
        <v>67</v>
      </c>
      <c r="B76" s="4" t="s">
        <v>625</v>
      </c>
      <c r="C76" s="4" t="s">
        <v>1294</v>
      </c>
      <c r="D76" s="9">
        <v>1020</v>
      </c>
      <c r="E76" s="4" t="s">
        <v>1396</v>
      </c>
      <c r="F76" s="4" t="s">
        <v>1335</v>
      </c>
      <c r="G76" s="4" t="s">
        <v>1297</v>
      </c>
      <c r="H76" s="9">
        <v>22</v>
      </c>
      <c r="I76" s="4" t="s">
        <v>1398</v>
      </c>
      <c r="J76" s="4" t="s">
        <v>1399</v>
      </c>
      <c r="K76" s="4" t="s">
        <v>85</v>
      </c>
      <c r="L76" s="4" t="s">
        <v>85</v>
      </c>
    </row>
    <row r="77" spans="1:12" ht="48" customHeight="1">
      <c r="A77" s="8">
        <v>68</v>
      </c>
      <c r="B77" s="3" t="s">
        <v>619</v>
      </c>
      <c r="C77" s="3" t="s">
        <v>1294</v>
      </c>
      <c r="D77" s="8">
        <v>1019</v>
      </c>
      <c r="E77" s="3" t="s">
        <v>1396</v>
      </c>
      <c r="F77" s="3" t="s">
        <v>1335</v>
      </c>
      <c r="G77" s="3" t="s">
        <v>1297</v>
      </c>
      <c r="H77" s="8">
        <v>23</v>
      </c>
      <c r="I77" s="3" t="s">
        <v>1400</v>
      </c>
      <c r="J77" s="3" t="s">
        <v>1401</v>
      </c>
      <c r="K77" s="3" t="s">
        <v>85</v>
      </c>
      <c r="L77" s="3" t="s">
        <v>85</v>
      </c>
    </row>
    <row r="78" spans="1:12" ht="48" customHeight="1">
      <c r="A78" s="9">
        <v>69</v>
      </c>
      <c r="B78" s="4" t="s">
        <v>738</v>
      </c>
      <c r="C78" s="4" t="s">
        <v>1294</v>
      </c>
      <c r="D78" s="9">
        <v>1018</v>
      </c>
      <c r="E78" s="4" t="s">
        <v>1396</v>
      </c>
      <c r="F78" s="4" t="s">
        <v>1335</v>
      </c>
      <c r="G78" s="4" t="s">
        <v>1297</v>
      </c>
      <c r="H78" s="9">
        <v>24</v>
      </c>
      <c r="I78" s="4" t="s">
        <v>1298</v>
      </c>
      <c r="J78" s="4" t="s">
        <v>85</v>
      </c>
      <c r="K78" s="4" t="s">
        <v>85</v>
      </c>
      <c r="L78" s="4" t="s">
        <v>85</v>
      </c>
    </row>
    <row r="79" spans="1:12" ht="48" customHeight="1">
      <c r="A79" s="8">
        <v>70</v>
      </c>
      <c r="B79" s="3" t="s">
        <v>668</v>
      </c>
      <c r="C79" s="3" t="s">
        <v>1294</v>
      </c>
      <c r="D79" s="8">
        <v>1017</v>
      </c>
      <c r="E79" s="3" t="s">
        <v>1396</v>
      </c>
      <c r="F79" s="3" t="s">
        <v>1335</v>
      </c>
      <c r="G79" s="3" t="s">
        <v>1297</v>
      </c>
      <c r="H79" s="8">
        <v>25</v>
      </c>
      <c r="I79" s="3" t="s">
        <v>939</v>
      </c>
      <c r="J79" s="3" t="s">
        <v>1402</v>
      </c>
      <c r="K79" s="3" t="s">
        <v>85</v>
      </c>
      <c r="L79" s="3" t="s">
        <v>85</v>
      </c>
    </row>
    <row r="80" spans="1:12" ht="48" customHeight="1">
      <c r="A80" s="9">
        <v>71</v>
      </c>
      <c r="B80" s="4" t="s">
        <v>745</v>
      </c>
      <c r="C80" s="4" t="s">
        <v>1294</v>
      </c>
      <c r="D80" s="9">
        <v>1017</v>
      </c>
      <c r="E80" s="4" t="s">
        <v>1396</v>
      </c>
      <c r="F80" s="4" t="s">
        <v>1335</v>
      </c>
      <c r="G80" s="4" t="s">
        <v>1297</v>
      </c>
      <c r="H80" s="9">
        <v>26</v>
      </c>
      <c r="I80" s="4" t="s">
        <v>1398</v>
      </c>
      <c r="J80" s="4" t="s">
        <v>1403</v>
      </c>
      <c r="K80" s="4" t="s">
        <v>85</v>
      </c>
      <c r="L80" s="4" t="s">
        <v>85</v>
      </c>
    </row>
    <row r="81" spans="1:12" ht="66" customHeight="1">
      <c r="A81" s="8">
        <v>72</v>
      </c>
      <c r="B81" s="3" t="s">
        <v>649</v>
      </c>
      <c r="C81" s="3" t="s">
        <v>1294</v>
      </c>
      <c r="D81" s="8">
        <v>1002</v>
      </c>
      <c r="E81" s="3" t="s">
        <v>1396</v>
      </c>
      <c r="F81" s="3" t="s">
        <v>1335</v>
      </c>
      <c r="G81" s="3" t="s">
        <v>1297</v>
      </c>
      <c r="H81" s="8">
        <v>27</v>
      </c>
      <c r="I81" s="3" t="s">
        <v>1404</v>
      </c>
      <c r="J81" s="3" t="s">
        <v>1405</v>
      </c>
      <c r="K81" s="3" t="s">
        <v>85</v>
      </c>
      <c r="L81" s="3" t="s">
        <v>85</v>
      </c>
    </row>
    <row r="82" spans="1:12" ht="16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3" customHeight="1">
      <c r="A83" s="19" t="s">
        <v>1406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</row>
    <row r="84" spans="1:12" ht="84" customHeight="1">
      <c r="A84" s="6" t="s">
        <v>1407</v>
      </c>
      <c r="B84" s="5"/>
      <c r="C84" s="5"/>
      <c r="D84" s="10">
        <f>COUNTIF(I10:I81,"&lt;&gt;(배경 변수만)")</f>
        <v>45</v>
      </c>
      <c r="E84" s="5"/>
      <c r="F84" s="5"/>
      <c r="G84" s="5"/>
      <c r="H84" s="5"/>
      <c r="I84" s="5"/>
      <c r="J84" s="5"/>
      <c r="K84" s="5"/>
      <c r="L84" s="5"/>
    </row>
    <row r="85" spans="1:12" ht="84" customHeight="1">
      <c r="A85" s="1" t="s">
        <v>1408</v>
      </c>
      <c r="B85" s="2"/>
      <c r="C85" s="2"/>
      <c r="D85" s="11">
        <f>COUNTIF(I10:I81,"(배경 변수만)")</f>
        <v>27</v>
      </c>
      <c r="E85" s="2"/>
      <c r="F85" s="2"/>
      <c r="G85" s="2"/>
      <c r="H85" s="2"/>
      <c r="I85" s="2"/>
      <c r="J85" s="2"/>
      <c r="K85" s="2"/>
      <c r="L85" s="2"/>
    </row>
    <row r="86" spans="1:12" ht="84" customHeight="1">
      <c r="A86" s="6" t="s">
        <v>1409</v>
      </c>
      <c r="B86" s="5"/>
      <c r="C86" s="5"/>
      <c r="D86" s="10">
        <f>COUNTIF(C10:C81,"2016–2025")</f>
        <v>58</v>
      </c>
      <c r="E86" s="5"/>
      <c r="F86" s="5"/>
      <c r="G86" s="5"/>
      <c r="H86" s="5"/>
      <c r="I86" s="5"/>
      <c r="J86" s="5"/>
      <c r="K86" s="5"/>
      <c r="L86" s="5"/>
    </row>
    <row r="87" spans="1:12" ht="84" customHeight="1">
      <c r="A87" s="1" t="s">
        <v>1410</v>
      </c>
      <c r="B87" s="2"/>
      <c r="C87" s="2"/>
      <c r="D87" s="11">
        <f>COUNTIF(G10:G81,"출생 코호트 맞춤")</f>
        <v>13</v>
      </c>
      <c r="E87" s="2"/>
      <c r="F87" s="2"/>
      <c r="G87" s="2"/>
      <c r="H87" s="2"/>
      <c r="I87" s="2"/>
      <c r="J87" s="2"/>
      <c r="K87" s="2"/>
      <c r="L87" s="2"/>
    </row>
    <row r="88" spans="1:12" ht="16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3" customHeight="1">
      <c r="A89" s="19" t="s">
        <v>1411</v>
      </c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</row>
  </sheetData>
  <mergeCells count="10">
    <mergeCell ref="A6:L6"/>
    <mergeCell ref="A7:L7"/>
    <mergeCell ref="A8:L8"/>
    <mergeCell ref="A83:L83"/>
    <mergeCell ref="A89:L89"/>
    <mergeCell ref="A1:L1"/>
    <mergeCell ref="A2:L2"/>
    <mergeCell ref="A3:L3"/>
    <mergeCell ref="A4:L4"/>
    <mergeCell ref="A5:L5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7"/>
  <cols>
    <col min="1" max="1" width="39" customWidth="1"/>
    <col min="2" max="3" width="20" customWidth="1"/>
    <col min="4" max="4" width="24" customWidth="1"/>
    <col min="5" max="5" width="26" customWidth="1"/>
    <col min="6" max="6" width="22" customWidth="1"/>
  </cols>
  <sheetData>
    <row r="1" spans="1:6" ht="42" customHeight="1">
      <c r="A1" s="21" t="s">
        <v>1412</v>
      </c>
      <c r="B1" s="22"/>
      <c r="C1" s="22"/>
      <c r="D1" s="22"/>
      <c r="E1" s="22"/>
      <c r="F1" s="22"/>
    </row>
    <row r="2" spans="1:6" ht="52" customHeight="1">
      <c r="A2" s="19" t="s">
        <v>1413</v>
      </c>
      <c r="B2" s="20"/>
      <c r="C2" s="20"/>
      <c r="D2" s="20"/>
      <c r="E2" s="20"/>
      <c r="F2" s="20"/>
    </row>
    <row r="3" spans="1:6" ht="33" customHeight="1">
      <c r="A3" s="19" t="s">
        <v>1414</v>
      </c>
      <c r="B3" s="20"/>
      <c r="C3" s="20"/>
      <c r="D3" s="20"/>
      <c r="E3" s="20"/>
      <c r="F3" s="20"/>
    </row>
    <row r="4" spans="1:6" ht="16" customHeight="1">
      <c r="A4" s="2"/>
      <c r="B4" s="2"/>
      <c r="C4" s="2"/>
      <c r="D4" s="2"/>
      <c r="E4" s="2"/>
      <c r="F4" s="2"/>
    </row>
    <row r="5" spans="1:6" ht="48" customHeight="1">
      <c r="A5" s="7" t="s">
        <v>1284</v>
      </c>
      <c r="B5" s="7" t="s">
        <v>1415</v>
      </c>
      <c r="C5" s="7" t="s">
        <v>1416</v>
      </c>
      <c r="D5" s="7" t="s">
        <v>1417</v>
      </c>
      <c r="E5" s="7" t="s">
        <v>1418</v>
      </c>
      <c r="F5" s="7" t="s">
        <v>1419</v>
      </c>
    </row>
    <row r="6" spans="1:6" ht="30" customHeight="1">
      <c r="A6" s="4" t="s">
        <v>536</v>
      </c>
      <c r="B6" s="9">
        <v>11793</v>
      </c>
      <c r="C6" s="9">
        <v>5650</v>
      </c>
      <c r="D6" s="12">
        <v>3.6</v>
      </c>
      <c r="E6" s="12">
        <v>1.4</v>
      </c>
      <c r="F6" s="12">
        <v>1.3</v>
      </c>
    </row>
    <row r="7" spans="1:6" ht="30" customHeight="1">
      <c r="A7" s="3" t="s">
        <v>560</v>
      </c>
      <c r="B7" s="8">
        <v>11756</v>
      </c>
      <c r="C7" s="8">
        <v>5625</v>
      </c>
      <c r="D7" s="13">
        <v>3.7</v>
      </c>
      <c r="E7" s="13">
        <v>1.4</v>
      </c>
      <c r="F7" s="13">
        <v>1.2</v>
      </c>
    </row>
    <row r="8" spans="1:6" ht="30" customHeight="1">
      <c r="A8" s="4" t="s">
        <v>572</v>
      </c>
      <c r="B8" s="9">
        <v>11174</v>
      </c>
      <c r="C8" s="9">
        <v>5546</v>
      </c>
      <c r="D8" s="12">
        <v>4.9000000000000004</v>
      </c>
      <c r="E8" s="12">
        <v>1</v>
      </c>
      <c r="F8" s="12">
        <v>1</v>
      </c>
    </row>
    <row r="9" spans="1:6" ht="30" customHeight="1">
      <c r="A9" s="3" t="s">
        <v>585</v>
      </c>
      <c r="B9" s="8">
        <v>1577</v>
      </c>
      <c r="C9" s="8">
        <v>2256</v>
      </c>
      <c r="D9" s="13">
        <v>3.1</v>
      </c>
      <c r="E9" s="13">
        <v>2.1</v>
      </c>
      <c r="F9" s="13">
        <v>2.1</v>
      </c>
    </row>
    <row r="10" spans="1:6" ht="30" customHeight="1">
      <c r="A10" s="4" t="s">
        <v>597</v>
      </c>
      <c r="B10" s="9">
        <v>11682</v>
      </c>
      <c r="C10" s="9">
        <v>5660</v>
      </c>
      <c r="D10" s="12">
        <v>1.9</v>
      </c>
      <c r="E10" s="12">
        <v>0.7</v>
      </c>
      <c r="F10" s="12">
        <v>0.8</v>
      </c>
    </row>
    <row r="11" spans="1:6" ht="30" customHeight="1">
      <c r="A11" s="3" t="s">
        <v>607</v>
      </c>
      <c r="B11" s="8">
        <v>1480</v>
      </c>
      <c r="C11" s="8">
        <v>1021</v>
      </c>
      <c r="D11" s="13">
        <v>7.6</v>
      </c>
      <c r="E11" s="13">
        <v>3</v>
      </c>
      <c r="F11" s="13">
        <v>3.1</v>
      </c>
    </row>
    <row r="12" spans="1:6" ht="30" customHeight="1">
      <c r="A12" s="4" t="s">
        <v>619</v>
      </c>
      <c r="B12" s="9">
        <v>1478</v>
      </c>
      <c r="C12" s="9">
        <v>1019</v>
      </c>
      <c r="D12" s="12">
        <v>5.9</v>
      </c>
      <c r="E12" s="12">
        <v>3.1</v>
      </c>
      <c r="F12" s="12">
        <v>3.1</v>
      </c>
    </row>
    <row r="13" spans="1:6" ht="30" customHeight="1">
      <c r="A13" s="3" t="s">
        <v>625</v>
      </c>
      <c r="B13" s="8">
        <v>1482</v>
      </c>
      <c r="C13" s="8">
        <v>1020</v>
      </c>
      <c r="D13" s="13">
        <v>4.9000000000000004</v>
      </c>
      <c r="E13" s="13">
        <v>3.3</v>
      </c>
      <c r="F13" s="13">
        <v>3.4</v>
      </c>
    </row>
    <row r="14" spans="1:6" ht="30" customHeight="1">
      <c r="A14" s="4" t="s">
        <v>635</v>
      </c>
      <c r="B14" s="9">
        <v>1539</v>
      </c>
      <c r="C14" s="9">
        <v>1200</v>
      </c>
      <c r="D14" s="12">
        <v>5.9</v>
      </c>
      <c r="E14" s="12">
        <v>2.2000000000000002</v>
      </c>
      <c r="F14" s="12">
        <v>2.5</v>
      </c>
    </row>
    <row r="15" spans="1:6" ht="30" customHeight="1">
      <c r="A15" s="3" t="s">
        <v>642</v>
      </c>
      <c r="B15" s="8">
        <v>1537</v>
      </c>
      <c r="C15" s="8">
        <v>1203</v>
      </c>
      <c r="D15" s="13">
        <v>5.2</v>
      </c>
      <c r="E15" s="13">
        <v>0.8</v>
      </c>
      <c r="F15" s="13">
        <v>0.7</v>
      </c>
    </row>
    <row r="16" spans="1:6" ht="30" customHeight="1">
      <c r="A16" s="4" t="s">
        <v>649</v>
      </c>
      <c r="B16" s="9">
        <v>1403</v>
      </c>
      <c r="C16" s="9">
        <v>1002</v>
      </c>
      <c r="D16" s="12">
        <v>4.2</v>
      </c>
      <c r="E16" s="12">
        <v>2.8</v>
      </c>
      <c r="F16" s="12">
        <v>2.7</v>
      </c>
    </row>
    <row r="17" spans="1:6" ht="30" customHeight="1">
      <c r="A17" s="3" t="s">
        <v>668</v>
      </c>
      <c r="B17" s="8">
        <v>1477</v>
      </c>
      <c r="C17" s="8">
        <v>1017</v>
      </c>
      <c r="D17" s="13">
        <v>4.5</v>
      </c>
      <c r="E17" s="13">
        <v>1.6</v>
      </c>
      <c r="F17" s="13">
        <v>1.8</v>
      </c>
    </row>
    <row r="18" spans="1:6" ht="30" customHeight="1">
      <c r="A18" s="4" t="s">
        <v>707</v>
      </c>
      <c r="B18" s="9">
        <v>1548</v>
      </c>
      <c r="C18" s="9">
        <v>1202</v>
      </c>
      <c r="D18" s="12">
        <v>5.2</v>
      </c>
      <c r="E18" s="12">
        <v>2.2000000000000002</v>
      </c>
      <c r="F18" s="12">
        <v>2.5</v>
      </c>
    </row>
    <row r="19" spans="1:6" ht="30" customHeight="1">
      <c r="A19" s="3" t="s">
        <v>715</v>
      </c>
      <c r="B19" s="8">
        <v>1530</v>
      </c>
      <c r="C19" s="8">
        <v>1197</v>
      </c>
      <c r="D19" s="13">
        <v>2.7</v>
      </c>
      <c r="E19" s="13">
        <v>1.8</v>
      </c>
      <c r="F19" s="13">
        <v>2.2000000000000002</v>
      </c>
    </row>
    <row r="20" spans="1:6" ht="30" customHeight="1">
      <c r="A20" s="4" t="s">
        <v>721</v>
      </c>
      <c r="B20" s="9">
        <v>1531</v>
      </c>
      <c r="C20" s="9">
        <v>3617</v>
      </c>
      <c r="D20" s="12">
        <v>2.7</v>
      </c>
      <c r="E20" s="12">
        <v>2</v>
      </c>
      <c r="F20" s="12">
        <v>1.9</v>
      </c>
    </row>
    <row r="21" spans="1:6" ht="30" customHeight="1">
      <c r="A21" s="3" t="s">
        <v>738</v>
      </c>
      <c r="B21" s="8">
        <v>1481</v>
      </c>
      <c r="C21" s="8">
        <v>1018</v>
      </c>
      <c r="D21" s="13">
        <v>4</v>
      </c>
      <c r="E21" s="13">
        <v>2.7</v>
      </c>
      <c r="F21" s="13">
        <v>2.6</v>
      </c>
    </row>
    <row r="22" spans="1:6" ht="30" customHeight="1">
      <c r="A22" s="4" t="s">
        <v>745</v>
      </c>
      <c r="B22" s="9">
        <v>2772</v>
      </c>
      <c r="C22" s="9">
        <v>1017</v>
      </c>
      <c r="D22" s="12">
        <v>4.2</v>
      </c>
      <c r="E22" s="12">
        <v>2</v>
      </c>
      <c r="F22" s="12">
        <v>2</v>
      </c>
    </row>
    <row r="23" spans="1:6" ht="30" customHeight="1">
      <c r="A23" s="3" t="s">
        <v>752</v>
      </c>
      <c r="B23" s="8">
        <v>1534</v>
      </c>
      <c r="C23" s="8">
        <v>1201</v>
      </c>
      <c r="D23" s="13">
        <v>3.8</v>
      </c>
      <c r="E23" s="13">
        <v>2.1</v>
      </c>
      <c r="F23" s="13">
        <v>2.2000000000000002</v>
      </c>
    </row>
    <row r="24" spans="1:6" ht="30" customHeight="1">
      <c r="A24" s="4" t="s">
        <v>786</v>
      </c>
      <c r="B24" s="9">
        <v>1583</v>
      </c>
      <c r="C24" s="9">
        <v>1044</v>
      </c>
      <c r="D24" s="12">
        <v>5.9</v>
      </c>
      <c r="E24" s="12">
        <v>2.2000000000000002</v>
      </c>
      <c r="F24" s="12">
        <v>2.2000000000000002</v>
      </c>
    </row>
    <row r="25" spans="1:6" ht="30" customHeight="1">
      <c r="A25" s="3" t="s">
        <v>796</v>
      </c>
      <c r="B25" s="8">
        <v>1577</v>
      </c>
      <c r="C25" s="8">
        <v>1046</v>
      </c>
      <c r="D25" s="13">
        <v>5</v>
      </c>
      <c r="E25" s="13">
        <v>3.3</v>
      </c>
      <c r="F25" s="13">
        <v>3.3</v>
      </c>
    </row>
    <row r="26" spans="1:6" ht="30" customHeight="1">
      <c r="A26" s="4" t="s">
        <v>863</v>
      </c>
      <c r="B26" s="9">
        <v>11530</v>
      </c>
      <c r="C26" s="9">
        <v>5639</v>
      </c>
      <c r="D26" s="12">
        <v>2.7</v>
      </c>
      <c r="E26" s="12">
        <v>1.2</v>
      </c>
      <c r="F26" s="12">
        <v>1.2</v>
      </c>
    </row>
    <row r="27" spans="1:6" ht="30" customHeight="1">
      <c r="A27" s="3" t="s">
        <v>869</v>
      </c>
      <c r="B27" s="8">
        <v>11149</v>
      </c>
      <c r="C27" s="8">
        <v>5523</v>
      </c>
      <c r="D27" s="13">
        <v>2.7</v>
      </c>
      <c r="E27" s="13">
        <v>0.9</v>
      </c>
      <c r="F27" s="13">
        <v>0.9</v>
      </c>
    </row>
    <row r="28" spans="1:6" ht="30" customHeight="1">
      <c r="A28" s="4" t="s">
        <v>871</v>
      </c>
      <c r="B28" s="9">
        <v>3058</v>
      </c>
      <c r="C28" s="9">
        <v>4502</v>
      </c>
      <c r="D28" s="12">
        <v>2.6</v>
      </c>
      <c r="E28" s="12">
        <v>1.8</v>
      </c>
      <c r="F28" s="12">
        <v>1.7</v>
      </c>
    </row>
    <row r="29" spans="1:6" ht="30" customHeight="1">
      <c r="A29" s="3" t="s">
        <v>879</v>
      </c>
      <c r="B29" s="8">
        <v>2608</v>
      </c>
      <c r="C29" s="8">
        <v>2189</v>
      </c>
      <c r="D29" s="13">
        <v>3.8</v>
      </c>
      <c r="E29" s="13">
        <v>1.6</v>
      </c>
      <c r="F29" s="13">
        <v>1.6</v>
      </c>
    </row>
    <row r="30" spans="1:6" ht="30" customHeight="1">
      <c r="A30" s="4" t="s">
        <v>887</v>
      </c>
      <c r="B30" s="9">
        <v>2796</v>
      </c>
      <c r="C30" s="9">
        <v>2065</v>
      </c>
      <c r="D30" s="12">
        <v>4.5</v>
      </c>
      <c r="E30" s="12">
        <v>2.2000000000000002</v>
      </c>
      <c r="F30" s="12">
        <v>2.1</v>
      </c>
    </row>
    <row r="31" spans="1:6" ht="30" customHeight="1">
      <c r="A31" s="3" t="s">
        <v>928</v>
      </c>
      <c r="B31" s="8">
        <v>4368</v>
      </c>
      <c r="C31" s="8">
        <v>1200</v>
      </c>
      <c r="D31" s="13">
        <v>5.5</v>
      </c>
      <c r="E31" s="13">
        <v>1.8</v>
      </c>
      <c r="F31" s="13">
        <v>1.9</v>
      </c>
    </row>
    <row r="32" spans="1:6" ht="30" customHeight="1">
      <c r="A32" s="4" t="s">
        <v>934</v>
      </c>
      <c r="B32" s="9">
        <v>1282</v>
      </c>
      <c r="C32" s="9">
        <v>2420</v>
      </c>
      <c r="D32" s="12">
        <v>4.0999999999999996</v>
      </c>
      <c r="E32" s="12">
        <v>1.5</v>
      </c>
      <c r="F32" s="12">
        <v>1.4</v>
      </c>
    </row>
    <row r="33" spans="1:6" ht="30" customHeight="1">
      <c r="A33" s="3" t="s">
        <v>939</v>
      </c>
      <c r="B33" s="8">
        <v>11720</v>
      </c>
      <c r="C33" s="8">
        <v>5694</v>
      </c>
      <c r="D33" s="13">
        <v>4.3</v>
      </c>
      <c r="E33" s="13">
        <v>2.7</v>
      </c>
      <c r="F33" s="13">
        <v>2.8</v>
      </c>
    </row>
    <row r="34" spans="1:6" ht="30" customHeight="1">
      <c r="A34" s="4" t="s">
        <v>949</v>
      </c>
      <c r="B34" s="9">
        <v>11477</v>
      </c>
      <c r="C34" s="9">
        <v>5619</v>
      </c>
      <c r="D34" s="12">
        <v>6.5</v>
      </c>
      <c r="E34" s="12">
        <v>1.5</v>
      </c>
      <c r="F34" s="12">
        <v>1.5</v>
      </c>
    </row>
    <row r="35" spans="1:6" ht="30" customHeight="1">
      <c r="A35" s="3" t="s">
        <v>960</v>
      </c>
      <c r="B35" s="8">
        <v>8811</v>
      </c>
      <c r="C35" s="8">
        <v>5639</v>
      </c>
      <c r="D35" s="13">
        <v>3.1</v>
      </c>
      <c r="E35" s="13">
        <v>1.3</v>
      </c>
      <c r="F35" s="13">
        <v>1.3</v>
      </c>
    </row>
    <row r="36" spans="1:6" ht="30" customHeight="1">
      <c r="A36" s="4" t="s">
        <v>971</v>
      </c>
      <c r="B36" s="9">
        <v>11653</v>
      </c>
      <c r="C36" s="9">
        <v>5673</v>
      </c>
      <c r="D36" s="12">
        <v>3.6</v>
      </c>
      <c r="E36" s="12">
        <v>1.1000000000000001</v>
      </c>
      <c r="F36" s="12">
        <v>1.1000000000000001</v>
      </c>
    </row>
    <row r="37" spans="1:6" ht="30" customHeight="1">
      <c r="A37" s="3" t="s">
        <v>977</v>
      </c>
      <c r="B37" s="8">
        <v>3135</v>
      </c>
      <c r="C37" s="8">
        <v>4682</v>
      </c>
      <c r="D37" s="13">
        <v>2.1</v>
      </c>
      <c r="E37" s="13">
        <v>1.6</v>
      </c>
      <c r="F37" s="13">
        <v>1.6</v>
      </c>
    </row>
    <row r="38" spans="1:6" ht="30" customHeight="1">
      <c r="A38" s="4" t="s">
        <v>986</v>
      </c>
      <c r="B38" s="9">
        <v>3091</v>
      </c>
      <c r="C38" s="9">
        <v>4673</v>
      </c>
      <c r="D38" s="12">
        <v>3.1</v>
      </c>
      <c r="E38" s="12">
        <v>1.9</v>
      </c>
      <c r="F38" s="12">
        <v>2</v>
      </c>
    </row>
    <row r="39" spans="1:6" ht="30" customHeight="1">
      <c r="A39" s="3" t="s">
        <v>995</v>
      </c>
      <c r="B39" s="8">
        <v>1551</v>
      </c>
      <c r="C39" s="8">
        <v>3639</v>
      </c>
      <c r="D39" s="13">
        <v>1.9</v>
      </c>
      <c r="E39" s="13">
        <v>1.4</v>
      </c>
      <c r="F39" s="13">
        <v>1.3</v>
      </c>
    </row>
    <row r="40" spans="1:6" ht="30" customHeight="1">
      <c r="A40" s="4" t="s">
        <v>1008</v>
      </c>
      <c r="B40" s="9">
        <v>1459</v>
      </c>
      <c r="C40" s="9">
        <v>4573</v>
      </c>
      <c r="D40" s="12">
        <v>2.4</v>
      </c>
      <c r="E40" s="12">
        <v>1.7</v>
      </c>
      <c r="F40" s="12">
        <v>1.7</v>
      </c>
    </row>
    <row r="41" spans="1:6" ht="30" customHeight="1">
      <c r="A41" s="3" t="s">
        <v>1019</v>
      </c>
      <c r="B41" s="8">
        <v>2833</v>
      </c>
      <c r="C41" s="8">
        <v>1228</v>
      </c>
      <c r="D41" s="13">
        <v>4.9000000000000004</v>
      </c>
      <c r="E41" s="13">
        <v>2</v>
      </c>
      <c r="F41" s="13">
        <v>2</v>
      </c>
    </row>
    <row r="42" spans="1:6" ht="30" customHeight="1">
      <c r="A42" s="4" t="s">
        <v>1023</v>
      </c>
      <c r="B42" s="9">
        <v>7220</v>
      </c>
      <c r="C42" s="9">
        <v>3625</v>
      </c>
      <c r="D42" s="12">
        <v>4</v>
      </c>
      <c r="E42" s="12">
        <v>2.2000000000000002</v>
      </c>
      <c r="F42" s="12">
        <v>2.2999999999999998</v>
      </c>
    </row>
    <row r="43" spans="1:6" ht="30" customHeight="1">
      <c r="A43" s="3" t="s">
        <v>1036</v>
      </c>
      <c r="B43" s="8">
        <v>3048</v>
      </c>
      <c r="C43" s="8">
        <v>3587</v>
      </c>
      <c r="D43" s="13">
        <v>3.8</v>
      </c>
      <c r="E43" s="13">
        <v>1.2</v>
      </c>
      <c r="F43" s="13">
        <v>1.3</v>
      </c>
    </row>
    <row r="44" spans="1:6" ht="30" customHeight="1">
      <c r="A44" s="4" t="s">
        <v>1046</v>
      </c>
      <c r="B44" s="9">
        <v>11142</v>
      </c>
      <c r="C44" s="9">
        <v>5437</v>
      </c>
      <c r="D44" s="12">
        <v>5</v>
      </c>
      <c r="E44" s="12">
        <v>0.8</v>
      </c>
      <c r="F44" s="12">
        <v>0.8</v>
      </c>
    </row>
    <row r="45" spans="1:6" ht="30" customHeight="1">
      <c r="A45" s="3" t="s">
        <v>1059</v>
      </c>
      <c r="B45" s="8">
        <v>11640</v>
      </c>
      <c r="C45" s="8">
        <v>5673</v>
      </c>
      <c r="D45" s="13">
        <v>2.7</v>
      </c>
      <c r="E45" s="13">
        <v>1.2</v>
      </c>
      <c r="F45" s="13">
        <v>1.1000000000000001</v>
      </c>
    </row>
    <row r="46" spans="1:6" ht="30" customHeight="1">
      <c r="A46" s="4" t="s">
        <v>1065</v>
      </c>
      <c r="B46" s="9">
        <v>11496</v>
      </c>
      <c r="C46" s="9">
        <v>5637</v>
      </c>
      <c r="D46" s="12">
        <v>2.4</v>
      </c>
      <c r="E46" s="12">
        <v>1.4</v>
      </c>
      <c r="F46" s="12">
        <v>1.4</v>
      </c>
    </row>
    <row r="47" spans="1:6" ht="30" customHeight="1">
      <c r="A47" s="3" t="s">
        <v>1082</v>
      </c>
      <c r="B47" s="8">
        <v>1292</v>
      </c>
      <c r="C47" s="8">
        <v>1221</v>
      </c>
      <c r="D47" s="13">
        <v>2.2000000000000002</v>
      </c>
      <c r="E47" s="13">
        <v>1.3</v>
      </c>
      <c r="F47" s="13">
        <v>1.2</v>
      </c>
    </row>
    <row r="48" spans="1:6" ht="30" customHeight="1">
      <c r="A48" s="4" t="s">
        <v>1096</v>
      </c>
      <c r="B48" s="9">
        <v>1581</v>
      </c>
      <c r="C48" s="9">
        <v>1045</v>
      </c>
      <c r="D48" s="12">
        <v>5.2</v>
      </c>
      <c r="E48" s="12">
        <v>3.5</v>
      </c>
      <c r="F48" s="12">
        <v>3.6</v>
      </c>
    </row>
    <row r="49" spans="1:6" ht="30" customHeight="1">
      <c r="A49" s="1" t="s">
        <v>1420</v>
      </c>
      <c r="B49" s="2"/>
      <c r="C49" s="2"/>
      <c r="D49" s="14">
        <f>MEDIAN(D6:D48)</f>
        <v>4</v>
      </c>
      <c r="E49" s="14">
        <f>MEDIAN(E6:E48)</f>
        <v>1.8</v>
      </c>
      <c r="F49" s="14">
        <f>MEDIAN(F6:F48)</f>
        <v>1.8</v>
      </c>
    </row>
    <row r="50" spans="1:6" ht="48" customHeight="1">
      <c r="A50" s="6" t="s">
        <v>1421</v>
      </c>
      <c r="B50" s="5"/>
      <c r="C50" s="5"/>
      <c r="D50" s="15">
        <f>COUNTIF(D6:D48,"&gt;2")/COUNT(D6:D48)</f>
        <v>0.95348837209302328</v>
      </c>
      <c r="E50" s="15">
        <f>COUNTIF(E6:E48,"&gt;2")/COUNT(E6:E48)</f>
        <v>0.34883720930232559</v>
      </c>
      <c r="F50" s="15">
        <f>COUNTIF(F6:F48,"&gt;2")/COUNT(F6:F48)</f>
        <v>0.37209302325581395</v>
      </c>
    </row>
    <row r="51" spans="1:6" ht="52" customHeight="1">
      <c r="A51" s="19" t="s">
        <v>1422</v>
      </c>
      <c r="B51" s="20"/>
      <c r="C51" s="20"/>
      <c r="D51" s="20"/>
      <c r="E51" s="20"/>
      <c r="F51" s="20"/>
    </row>
    <row r="52" spans="1:6" ht="16" customHeight="1">
      <c r="A52" s="5"/>
      <c r="B52" s="5"/>
      <c r="C52" s="5"/>
      <c r="D52" s="5"/>
      <c r="E52" s="5"/>
      <c r="F52" s="5"/>
    </row>
    <row r="53" spans="1:6" ht="33" customHeight="1">
      <c r="A53" s="19" t="s">
        <v>1423</v>
      </c>
      <c r="B53" s="20"/>
      <c r="C53" s="20"/>
      <c r="D53" s="20"/>
      <c r="E53" s="20"/>
      <c r="F53" s="20"/>
    </row>
    <row r="54" spans="1:6" ht="48" customHeight="1">
      <c r="A54" s="7" t="s">
        <v>1284</v>
      </c>
      <c r="B54" s="7" t="s">
        <v>1424</v>
      </c>
      <c r="C54" s="7" t="s">
        <v>1425</v>
      </c>
      <c r="D54" s="7" t="s">
        <v>1426</v>
      </c>
      <c r="E54" s="18"/>
      <c r="F54" s="18"/>
    </row>
    <row r="55" spans="1:6" ht="30" customHeight="1">
      <c r="A55" s="3" t="s">
        <v>536</v>
      </c>
      <c r="B55" s="13">
        <v>16.600000000000001</v>
      </c>
      <c r="C55" s="13">
        <v>16.7</v>
      </c>
      <c r="D55" s="13">
        <v>12.8</v>
      </c>
      <c r="E55" s="2"/>
      <c r="F55" s="2"/>
    </row>
    <row r="56" spans="1:6" ht="30" customHeight="1">
      <c r="A56" s="4" t="s">
        <v>560</v>
      </c>
      <c r="B56" s="12">
        <v>16.5</v>
      </c>
      <c r="C56" s="12">
        <v>16.899999999999999</v>
      </c>
      <c r="D56" s="12">
        <v>13.4</v>
      </c>
      <c r="E56" s="5"/>
      <c r="F56" s="5"/>
    </row>
    <row r="57" spans="1:6" ht="30" customHeight="1">
      <c r="A57" s="3" t="s">
        <v>572</v>
      </c>
      <c r="B57" s="13">
        <v>14.6</v>
      </c>
      <c r="C57" s="13">
        <v>12.4</v>
      </c>
      <c r="D57" s="13">
        <v>9.6</v>
      </c>
      <c r="E57" s="2"/>
      <c r="F57" s="2"/>
    </row>
    <row r="58" spans="1:6" ht="30" customHeight="1">
      <c r="A58" s="4" t="s">
        <v>585</v>
      </c>
      <c r="B58" s="12">
        <v>10</v>
      </c>
      <c r="C58" s="12">
        <v>12</v>
      </c>
      <c r="D58" s="12">
        <v>11.3</v>
      </c>
      <c r="E58" s="5"/>
      <c r="F58" s="5"/>
    </row>
    <row r="59" spans="1:6" ht="30" customHeight="1">
      <c r="A59" s="3" t="s">
        <v>597</v>
      </c>
      <c r="B59" s="13">
        <v>14.9</v>
      </c>
      <c r="C59" s="13">
        <v>14.1</v>
      </c>
      <c r="D59" s="13">
        <v>9.1999999999999993</v>
      </c>
      <c r="E59" s="2"/>
      <c r="F59" s="2"/>
    </row>
    <row r="60" spans="1:6" ht="30" customHeight="1">
      <c r="A60" s="4" t="s">
        <v>607</v>
      </c>
      <c r="B60" s="12">
        <v>19</v>
      </c>
      <c r="C60" s="12">
        <v>20.5</v>
      </c>
      <c r="D60" s="12">
        <v>19.2</v>
      </c>
      <c r="E60" s="5"/>
      <c r="F60" s="5"/>
    </row>
    <row r="61" spans="1:6" ht="30" customHeight="1">
      <c r="A61" s="3" t="s">
        <v>619</v>
      </c>
      <c r="B61" s="13">
        <v>11.8</v>
      </c>
      <c r="C61" s="13">
        <v>10.4</v>
      </c>
      <c r="D61" s="13">
        <v>11.8</v>
      </c>
      <c r="E61" s="2"/>
      <c r="F61" s="2"/>
    </row>
    <row r="62" spans="1:6" ht="30" customHeight="1">
      <c r="A62" s="4" t="s">
        <v>625</v>
      </c>
      <c r="B62" s="12">
        <v>16.7</v>
      </c>
      <c r="C62" s="12">
        <v>16.399999999999999</v>
      </c>
      <c r="D62" s="12">
        <v>15.5</v>
      </c>
      <c r="E62" s="5"/>
      <c r="F62" s="5"/>
    </row>
    <row r="63" spans="1:6" ht="30" customHeight="1">
      <c r="A63" s="3" t="s">
        <v>635</v>
      </c>
      <c r="B63" s="13">
        <v>15.9</v>
      </c>
      <c r="C63" s="13">
        <v>17.2</v>
      </c>
      <c r="D63" s="13">
        <v>13.4</v>
      </c>
      <c r="E63" s="2"/>
      <c r="F63" s="2"/>
    </row>
    <row r="64" spans="1:6" ht="30" customHeight="1">
      <c r="A64" s="4" t="s">
        <v>642</v>
      </c>
      <c r="B64" s="12">
        <v>16</v>
      </c>
      <c r="C64" s="12">
        <v>17.3</v>
      </c>
      <c r="D64" s="12">
        <v>13.8</v>
      </c>
      <c r="E64" s="5"/>
      <c r="F64" s="5"/>
    </row>
    <row r="65" spans="1:6" ht="30" customHeight="1">
      <c r="A65" s="3" t="s">
        <v>649</v>
      </c>
      <c r="B65" s="13">
        <v>13.8</v>
      </c>
      <c r="C65" s="13">
        <v>12.4</v>
      </c>
      <c r="D65" s="13">
        <v>11.3</v>
      </c>
      <c r="E65" s="2"/>
      <c r="F65" s="2"/>
    </row>
    <row r="66" spans="1:6" ht="30" customHeight="1">
      <c r="A66" s="4" t="s">
        <v>668</v>
      </c>
      <c r="B66" s="12">
        <v>23.7</v>
      </c>
      <c r="C66" s="12">
        <v>22.9</v>
      </c>
      <c r="D66" s="12">
        <v>25</v>
      </c>
      <c r="E66" s="5"/>
      <c r="F66" s="5"/>
    </row>
    <row r="67" spans="1:6" ht="30" customHeight="1">
      <c r="A67" s="3" t="s">
        <v>707</v>
      </c>
      <c r="B67" s="13">
        <v>25.1</v>
      </c>
      <c r="C67" s="13">
        <v>27.1</v>
      </c>
      <c r="D67" s="13">
        <v>21.9</v>
      </c>
      <c r="E67" s="2"/>
      <c r="F67" s="2"/>
    </row>
    <row r="68" spans="1:6" ht="30" customHeight="1">
      <c r="A68" s="4" t="s">
        <v>715</v>
      </c>
      <c r="B68" s="12">
        <v>21</v>
      </c>
      <c r="C68" s="12">
        <v>18.399999999999999</v>
      </c>
      <c r="D68" s="12">
        <v>14.6</v>
      </c>
      <c r="E68" s="5"/>
      <c r="F68" s="5"/>
    </row>
    <row r="69" spans="1:6" ht="30" customHeight="1">
      <c r="A69" s="3" t="s">
        <v>721</v>
      </c>
      <c r="B69" s="13">
        <v>21.5</v>
      </c>
      <c r="C69" s="13">
        <v>21.5</v>
      </c>
      <c r="D69" s="13">
        <v>16.2</v>
      </c>
      <c r="E69" s="2"/>
      <c r="F69" s="2"/>
    </row>
    <row r="70" spans="1:6" ht="30" customHeight="1">
      <c r="A70" s="4" t="s">
        <v>738</v>
      </c>
      <c r="B70" s="12">
        <v>22.6</v>
      </c>
      <c r="C70" s="12">
        <v>7.5</v>
      </c>
      <c r="D70" s="12">
        <v>8</v>
      </c>
      <c r="E70" s="5"/>
      <c r="F70" s="5"/>
    </row>
    <row r="71" spans="1:6" ht="30" customHeight="1">
      <c r="A71" s="3" t="s">
        <v>745</v>
      </c>
      <c r="B71" s="13">
        <v>22</v>
      </c>
      <c r="C71" s="13">
        <v>23.2</v>
      </c>
      <c r="D71" s="13">
        <v>15.7</v>
      </c>
      <c r="E71" s="2"/>
      <c r="F71" s="2"/>
    </row>
    <row r="72" spans="1:6" ht="30" customHeight="1">
      <c r="A72" s="4" t="s">
        <v>752</v>
      </c>
      <c r="B72" s="12">
        <v>19.2</v>
      </c>
      <c r="C72" s="12">
        <v>20.399999999999999</v>
      </c>
      <c r="D72" s="12">
        <v>17.899999999999999</v>
      </c>
      <c r="E72" s="5"/>
      <c r="F72" s="5"/>
    </row>
    <row r="73" spans="1:6" ht="30" customHeight="1">
      <c r="A73" s="3" t="s">
        <v>786</v>
      </c>
      <c r="B73" s="13">
        <v>19</v>
      </c>
      <c r="C73" s="13">
        <v>11.9</v>
      </c>
      <c r="D73" s="13">
        <v>4</v>
      </c>
      <c r="E73" s="2"/>
      <c r="F73" s="2"/>
    </row>
    <row r="74" spans="1:6" ht="30" customHeight="1">
      <c r="A74" s="4" t="s">
        <v>796</v>
      </c>
      <c r="B74" s="12">
        <v>18.3</v>
      </c>
      <c r="C74" s="12">
        <v>11.7</v>
      </c>
      <c r="D74" s="12">
        <v>12</v>
      </c>
      <c r="E74" s="5"/>
      <c r="F74" s="5"/>
    </row>
    <row r="75" spans="1:6" ht="30" customHeight="1">
      <c r="A75" s="3" t="s">
        <v>863</v>
      </c>
      <c r="B75" s="13">
        <v>14.5</v>
      </c>
      <c r="C75" s="13">
        <v>13.8</v>
      </c>
      <c r="D75" s="13">
        <v>9.6999999999999993</v>
      </c>
      <c r="E75" s="2"/>
      <c r="F75" s="2"/>
    </row>
    <row r="76" spans="1:6" ht="30" customHeight="1">
      <c r="A76" s="4" t="s">
        <v>869</v>
      </c>
      <c r="B76" s="12">
        <v>5.3</v>
      </c>
      <c r="C76" s="12">
        <v>4.8</v>
      </c>
      <c r="D76" s="12">
        <v>8.1</v>
      </c>
      <c r="E76" s="5"/>
      <c r="F76" s="5"/>
    </row>
    <row r="77" spans="1:6" ht="30" customHeight="1">
      <c r="A77" s="3" t="s">
        <v>871</v>
      </c>
      <c r="B77" s="13">
        <v>28.5</v>
      </c>
      <c r="C77" s="13">
        <v>30</v>
      </c>
      <c r="D77" s="13">
        <v>22.1</v>
      </c>
      <c r="E77" s="2"/>
      <c r="F77" s="2"/>
    </row>
    <row r="78" spans="1:6" ht="30" customHeight="1">
      <c r="A78" s="4" t="s">
        <v>879</v>
      </c>
      <c r="B78" s="12">
        <v>14.1</v>
      </c>
      <c r="C78" s="12">
        <v>16.7</v>
      </c>
      <c r="D78" s="12">
        <v>13.4</v>
      </c>
      <c r="E78" s="5"/>
      <c r="F78" s="5"/>
    </row>
    <row r="79" spans="1:6" ht="30" customHeight="1">
      <c r="A79" s="3" t="s">
        <v>887</v>
      </c>
      <c r="B79" s="13">
        <v>13.5</v>
      </c>
      <c r="C79" s="13">
        <v>9.1999999999999993</v>
      </c>
      <c r="D79" s="13">
        <v>10.3</v>
      </c>
      <c r="E79" s="2"/>
      <c r="F79" s="2"/>
    </row>
    <row r="80" spans="1:6" ht="30" customHeight="1">
      <c r="A80" s="4" t="s">
        <v>928</v>
      </c>
      <c r="B80" s="12">
        <v>23.1</v>
      </c>
      <c r="C80" s="12">
        <v>24.8</v>
      </c>
      <c r="D80" s="12">
        <v>23.2</v>
      </c>
      <c r="E80" s="5"/>
      <c r="F80" s="5"/>
    </row>
    <row r="81" spans="1:6" ht="30" customHeight="1">
      <c r="A81" s="3" t="s">
        <v>934</v>
      </c>
      <c r="B81" s="13">
        <v>21</v>
      </c>
      <c r="C81" s="13">
        <v>23</v>
      </c>
      <c r="D81" s="13">
        <v>13</v>
      </c>
      <c r="E81" s="2"/>
      <c r="F81" s="2"/>
    </row>
    <row r="82" spans="1:6" ht="30" customHeight="1">
      <c r="A82" s="4" t="s">
        <v>939</v>
      </c>
      <c r="B82" s="12">
        <v>17.2</v>
      </c>
      <c r="C82" s="12">
        <v>18.7</v>
      </c>
      <c r="D82" s="12">
        <v>14.4</v>
      </c>
      <c r="E82" s="5"/>
      <c r="F82" s="5"/>
    </row>
    <row r="83" spans="1:6" ht="30" customHeight="1">
      <c r="A83" s="3" t="s">
        <v>949</v>
      </c>
      <c r="B83" s="13">
        <v>15.5</v>
      </c>
      <c r="C83" s="13">
        <v>14.5</v>
      </c>
      <c r="D83" s="13">
        <v>18</v>
      </c>
      <c r="E83" s="2"/>
      <c r="F83" s="2"/>
    </row>
    <row r="84" spans="1:6" ht="30" customHeight="1">
      <c r="A84" s="4" t="s">
        <v>960</v>
      </c>
      <c r="B84" s="12">
        <v>17.100000000000001</v>
      </c>
      <c r="C84" s="12">
        <v>18.2</v>
      </c>
      <c r="D84" s="12">
        <v>13.5</v>
      </c>
      <c r="E84" s="5"/>
      <c r="F84" s="5"/>
    </row>
    <row r="85" spans="1:6" ht="30" customHeight="1">
      <c r="A85" s="3" t="s">
        <v>971</v>
      </c>
      <c r="B85" s="13">
        <v>3.5</v>
      </c>
      <c r="C85" s="13">
        <v>4.2</v>
      </c>
      <c r="D85" s="13">
        <v>3.1</v>
      </c>
      <c r="E85" s="2"/>
      <c r="F85" s="2"/>
    </row>
    <row r="86" spans="1:6" ht="30" customHeight="1">
      <c r="A86" s="4" t="s">
        <v>977</v>
      </c>
      <c r="B86" s="12">
        <v>8</v>
      </c>
      <c r="C86" s="12">
        <v>9.1</v>
      </c>
      <c r="D86" s="12">
        <v>7.3</v>
      </c>
      <c r="E86" s="5"/>
      <c r="F86" s="5"/>
    </row>
    <row r="87" spans="1:6" ht="30" customHeight="1">
      <c r="A87" s="3" t="s">
        <v>986</v>
      </c>
      <c r="B87" s="13">
        <v>9.4</v>
      </c>
      <c r="C87" s="13">
        <v>10.3</v>
      </c>
      <c r="D87" s="13">
        <v>8.4</v>
      </c>
      <c r="E87" s="2"/>
      <c r="F87" s="2"/>
    </row>
    <row r="88" spans="1:6" ht="30" customHeight="1">
      <c r="A88" s="4" t="s">
        <v>995</v>
      </c>
      <c r="B88" s="12">
        <v>17.600000000000001</v>
      </c>
      <c r="C88" s="12">
        <v>17.8</v>
      </c>
      <c r="D88" s="12">
        <v>17.7</v>
      </c>
      <c r="E88" s="5"/>
      <c r="F88" s="5"/>
    </row>
    <row r="89" spans="1:6" ht="30" customHeight="1">
      <c r="A89" s="3" t="s">
        <v>1008</v>
      </c>
      <c r="B89" s="13">
        <v>24.3</v>
      </c>
      <c r="C89" s="13">
        <v>24.3</v>
      </c>
      <c r="D89" s="13">
        <v>18.3</v>
      </c>
      <c r="E89" s="2"/>
      <c r="F89" s="2"/>
    </row>
    <row r="90" spans="1:6" ht="30" customHeight="1">
      <c r="A90" s="4" t="s">
        <v>1019</v>
      </c>
      <c r="B90" s="12">
        <v>24.1</v>
      </c>
      <c r="C90" s="12">
        <v>23.7</v>
      </c>
      <c r="D90" s="12">
        <v>23.4</v>
      </c>
      <c r="E90" s="5"/>
      <c r="F90" s="5"/>
    </row>
    <row r="91" spans="1:6" ht="30" customHeight="1">
      <c r="A91" s="3" t="s">
        <v>1023</v>
      </c>
      <c r="B91" s="13">
        <v>25.9</v>
      </c>
      <c r="C91" s="13">
        <v>26.2</v>
      </c>
      <c r="D91" s="13">
        <v>25.2</v>
      </c>
      <c r="E91" s="2"/>
      <c r="F91" s="2"/>
    </row>
    <row r="92" spans="1:6" ht="30" customHeight="1">
      <c r="A92" s="4" t="s">
        <v>1036</v>
      </c>
      <c r="B92" s="12">
        <v>27.7</v>
      </c>
      <c r="C92" s="12">
        <v>28.6</v>
      </c>
      <c r="D92" s="12">
        <v>27.7</v>
      </c>
      <c r="E92" s="5"/>
      <c r="F92" s="5"/>
    </row>
    <row r="93" spans="1:6" ht="30" customHeight="1">
      <c r="A93" s="3" t="s">
        <v>1046</v>
      </c>
      <c r="B93" s="13">
        <v>20.100000000000001</v>
      </c>
      <c r="C93" s="13">
        <v>18.7</v>
      </c>
      <c r="D93" s="13">
        <v>24</v>
      </c>
      <c r="E93" s="2"/>
      <c r="F93" s="2"/>
    </row>
    <row r="94" spans="1:6" ht="30" customHeight="1">
      <c r="A94" s="4" t="s">
        <v>1059</v>
      </c>
      <c r="B94" s="12">
        <v>12.1</v>
      </c>
      <c r="C94" s="12">
        <v>12</v>
      </c>
      <c r="D94" s="12">
        <v>8.8000000000000007</v>
      </c>
      <c r="E94" s="5"/>
      <c r="F94" s="5"/>
    </row>
    <row r="95" spans="1:6" ht="30" customHeight="1">
      <c r="A95" s="3" t="s">
        <v>1065</v>
      </c>
      <c r="B95" s="13">
        <v>3.7</v>
      </c>
      <c r="C95" s="13">
        <v>3.3</v>
      </c>
      <c r="D95" s="13">
        <v>3.1</v>
      </c>
      <c r="E95" s="2"/>
      <c r="F95" s="2"/>
    </row>
    <row r="96" spans="1:6" ht="30" customHeight="1">
      <c r="A96" s="4" t="s">
        <v>1082</v>
      </c>
      <c r="B96" s="12">
        <v>17.600000000000001</v>
      </c>
      <c r="C96" s="12">
        <v>18</v>
      </c>
      <c r="D96" s="12">
        <v>18.3</v>
      </c>
      <c r="E96" s="5"/>
      <c r="F96" s="5"/>
    </row>
    <row r="97" spans="1:6" ht="30" customHeight="1">
      <c r="A97" s="3" t="s">
        <v>1096</v>
      </c>
      <c r="B97" s="13">
        <v>22.7</v>
      </c>
      <c r="C97" s="13">
        <v>24</v>
      </c>
      <c r="D97" s="13">
        <v>18</v>
      </c>
      <c r="E97" s="2"/>
      <c r="F97" s="2"/>
    </row>
    <row r="98" spans="1:6" ht="30" customHeight="1">
      <c r="A98" s="6" t="s">
        <v>1420</v>
      </c>
      <c r="B98" s="16">
        <f>MEDIAN(B55:B97)</f>
        <v>17.2</v>
      </c>
      <c r="C98" s="16">
        <f>MEDIAN(C55:C97)</f>
        <v>17.2</v>
      </c>
      <c r="D98" s="16">
        <f>MEDIAN(D55:D97)</f>
        <v>13.5</v>
      </c>
      <c r="E98" s="5"/>
      <c r="F98" s="5"/>
    </row>
    <row r="99" spans="1:6" ht="66" customHeight="1">
      <c r="A99" s="1" t="s">
        <v>1427</v>
      </c>
      <c r="B99" s="2"/>
      <c r="C99" s="2"/>
      <c r="D99" s="17">
        <f>SUMPRODUCT(--(D55:D97&lt;C55:C97))/COUNT(D55:D97)</f>
        <v>0.79069767441860461</v>
      </c>
      <c r="E99" s="2"/>
      <c r="F99" s="2"/>
    </row>
    <row r="100" spans="1:6" ht="52" customHeight="1">
      <c r="A100" s="19" t="s">
        <v>1428</v>
      </c>
      <c r="B100" s="20"/>
      <c r="C100" s="20"/>
      <c r="D100" s="20"/>
      <c r="E100" s="20"/>
      <c r="F100" s="20"/>
    </row>
  </sheetData>
  <mergeCells count="6">
    <mergeCell ref="A100:F100"/>
    <mergeCell ref="A1:F1"/>
    <mergeCell ref="A2:F2"/>
    <mergeCell ref="A3:F3"/>
    <mergeCell ref="A51:F51"/>
    <mergeCell ref="A53:F53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7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7"/>
  <cols>
    <col min="1" max="1" width="24" customWidth="1"/>
    <col min="2" max="2" width="20" customWidth="1"/>
    <col min="3" max="3" width="52" customWidth="1"/>
    <col min="4" max="4" width="12" customWidth="1"/>
    <col min="5" max="5" width="52" customWidth="1"/>
  </cols>
  <sheetData>
    <row r="1" spans="1:5" ht="42" customHeight="1">
      <c r="A1" s="21" t="s">
        <v>1429</v>
      </c>
      <c r="B1" s="22"/>
      <c r="C1" s="22"/>
      <c r="D1" s="22"/>
      <c r="E1" s="22"/>
    </row>
    <row r="2" spans="1:5" ht="33" customHeight="1">
      <c r="A2" s="19" t="s">
        <v>1430</v>
      </c>
      <c r="B2" s="20"/>
      <c r="C2" s="20"/>
      <c r="D2" s="20"/>
      <c r="E2" s="20"/>
    </row>
    <row r="3" spans="1:5" ht="16" customHeight="1">
      <c r="A3" s="2"/>
      <c r="B3" s="2"/>
      <c r="C3" s="2"/>
      <c r="D3" s="2"/>
      <c r="E3" s="2"/>
    </row>
    <row r="4" spans="1:5" ht="44" customHeight="1">
      <c r="A4" s="7" t="s">
        <v>1431</v>
      </c>
      <c r="B4" s="7" t="s">
        <v>2</v>
      </c>
      <c r="C4" s="7" t="s">
        <v>1432</v>
      </c>
      <c r="D4" s="7" t="s">
        <v>1433</v>
      </c>
      <c r="E4" s="7" t="s">
        <v>1434</v>
      </c>
    </row>
    <row r="5" spans="1:5" ht="48" customHeight="1">
      <c r="A5" s="3" t="s">
        <v>1435</v>
      </c>
      <c r="B5" s="3" t="s">
        <v>80</v>
      </c>
      <c r="C5" s="3" t="s">
        <v>1436</v>
      </c>
      <c r="D5" s="3" t="s">
        <v>1437</v>
      </c>
      <c r="E5" s="3" t="s">
        <v>1438</v>
      </c>
    </row>
    <row r="6" spans="1:5" ht="48" customHeight="1">
      <c r="A6" s="4" t="s">
        <v>1439</v>
      </c>
      <c r="B6" s="4" t="s">
        <v>80</v>
      </c>
      <c r="C6" s="4" t="s">
        <v>1440</v>
      </c>
      <c r="D6" s="4" t="s">
        <v>1437</v>
      </c>
      <c r="E6" s="4" t="s">
        <v>1441</v>
      </c>
    </row>
    <row r="7" spans="1:5" ht="48" customHeight="1">
      <c r="A7" s="3" t="s">
        <v>1442</v>
      </c>
      <c r="B7" s="3" t="s">
        <v>186</v>
      </c>
      <c r="C7" s="3" t="s">
        <v>1443</v>
      </c>
      <c r="D7" s="3" t="s">
        <v>1437</v>
      </c>
      <c r="E7" s="3" t="s">
        <v>1444</v>
      </c>
    </row>
    <row r="8" spans="1:5" ht="30" customHeight="1">
      <c r="A8" s="4" t="s">
        <v>1445</v>
      </c>
      <c r="B8" s="4" t="s">
        <v>80</v>
      </c>
      <c r="C8" s="4" t="s">
        <v>1446</v>
      </c>
      <c r="D8" s="4" t="s">
        <v>1437</v>
      </c>
      <c r="E8" s="4" t="s">
        <v>1447</v>
      </c>
    </row>
    <row r="9" spans="1:5" ht="30" customHeight="1">
      <c r="A9" s="3" t="s">
        <v>1448</v>
      </c>
      <c r="B9" s="3" t="s">
        <v>80</v>
      </c>
      <c r="C9" s="3" t="s">
        <v>1449</v>
      </c>
      <c r="D9" s="3" t="s">
        <v>1437</v>
      </c>
      <c r="E9" s="3" t="s">
        <v>1450</v>
      </c>
    </row>
    <row r="10" spans="1:5" ht="30" customHeight="1">
      <c r="A10" s="4" t="s">
        <v>1451</v>
      </c>
      <c r="B10" s="4" t="s">
        <v>80</v>
      </c>
      <c r="C10" s="4" t="s">
        <v>1452</v>
      </c>
      <c r="D10" s="4" t="s">
        <v>1437</v>
      </c>
      <c r="E10" s="4" t="s">
        <v>1453</v>
      </c>
    </row>
    <row r="11" spans="1:5" ht="30" customHeight="1">
      <c r="A11" s="3" t="s">
        <v>1454</v>
      </c>
      <c r="B11" s="3" t="s">
        <v>80</v>
      </c>
      <c r="C11" s="3" t="s">
        <v>1455</v>
      </c>
      <c r="D11" s="3" t="s">
        <v>1437</v>
      </c>
      <c r="E11" s="3" t="s">
        <v>64</v>
      </c>
    </row>
    <row r="12" spans="1:5" ht="48" customHeight="1">
      <c r="A12" s="4" t="s">
        <v>1456</v>
      </c>
      <c r="B12" s="4" t="s">
        <v>80</v>
      </c>
      <c r="C12" s="4" t="s">
        <v>1457</v>
      </c>
      <c r="D12" s="4" t="s">
        <v>1458</v>
      </c>
      <c r="E12" s="4" t="s">
        <v>1459</v>
      </c>
    </row>
    <row r="13" spans="1:5" ht="48" customHeight="1">
      <c r="A13" s="3" t="s">
        <v>1460</v>
      </c>
      <c r="B13" s="3" t="s">
        <v>80</v>
      </c>
      <c r="C13" s="3" t="s">
        <v>1461</v>
      </c>
      <c r="D13" s="3" t="s">
        <v>1458</v>
      </c>
      <c r="E13" s="3" t="s">
        <v>1462</v>
      </c>
    </row>
    <row r="14" spans="1:5" ht="66" customHeight="1">
      <c r="A14" s="4" t="s">
        <v>1463</v>
      </c>
      <c r="B14" s="4" t="s">
        <v>80</v>
      </c>
      <c r="C14" s="4" t="s">
        <v>1464</v>
      </c>
      <c r="D14" s="4" t="s">
        <v>1465</v>
      </c>
      <c r="E14" s="4" t="s">
        <v>1466</v>
      </c>
    </row>
    <row r="15" spans="1:5" ht="30" customHeight="1">
      <c r="A15" s="3" t="s">
        <v>1467</v>
      </c>
      <c r="B15" s="3" t="s">
        <v>412</v>
      </c>
      <c r="C15" s="3" t="s">
        <v>1468</v>
      </c>
      <c r="D15" s="3" t="s">
        <v>1437</v>
      </c>
      <c r="E15" s="3" t="s">
        <v>1469</v>
      </c>
    </row>
    <row r="16" spans="1:5" ht="30" customHeight="1">
      <c r="A16" s="4" t="s">
        <v>1470</v>
      </c>
      <c r="B16" s="4" t="s">
        <v>412</v>
      </c>
      <c r="C16" s="4" t="s">
        <v>1471</v>
      </c>
      <c r="D16" s="4" t="s">
        <v>1437</v>
      </c>
      <c r="E16" s="4" t="s">
        <v>1472</v>
      </c>
    </row>
    <row r="17" spans="1:5" ht="48" customHeight="1">
      <c r="A17" s="3" t="s">
        <v>1473</v>
      </c>
      <c r="B17" s="3" t="s">
        <v>412</v>
      </c>
      <c r="C17" s="3" t="s">
        <v>1474</v>
      </c>
      <c r="D17" s="3" t="s">
        <v>1437</v>
      </c>
      <c r="E17" s="3" t="s">
        <v>1475</v>
      </c>
    </row>
    <row r="18" spans="1:5" ht="30" customHeight="1">
      <c r="A18" s="4" t="s">
        <v>1476</v>
      </c>
      <c r="B18" s="4" t="s">
        <v>412</v>
      </c>
      <c r="C18" s="4" t="s">
        <v>1477</v>
      </c>
      <c r="D18" s="4" t="s">
        <v>1465</v>
      </c>
      <c r="E18" s="4" t="s">
        <v>1478</v>
      </c>
    </row>
    <row r="19" spans="1:5" ht="30" customHeight="1">
      <c r="A19" s="3" t="s">
        <v>1479</v>
      </c>
      <c r="B19" s="3" t="s">
        <v>388</v>
      </c>
      <c r="C19" s="3" t="s">
        <v>1480</v>
      </c>
      <c r="D19" s="3" t="s">
        <v>1437</v>
      </c>
      <c r="E19" s="3" t="s">
        <v>1481</v>
      </c>
    </row>
    <row r="20" spans="1:5" ht="30" customHeight="1">
      <c r="A20" s="4" t="s">
        <v>1482</v>
      </c>
      <c r="B20" s="4" t="s">
        <v>388</v>
      </c>
      <c r="C20" s="4" t="s">
        <v>1483</v>
      </c>
      <c r="D20" s="4" t="s">
        <v>1437</v>
      </c>
      <c r="E20" s="4" t="s">
        <v>1484</v>
      </c>
    </row>
    <row r="21" spans="1:5" ht="30" customHeight="1">
      <c r="A21" s="3" t="s">
        <v>1476</v>
      </c>
      <c r="B21" s="3" t="s">
        <v>388</v>
      </c>
      <c r="C21" s="3" t="s">
        <v>1458</v>
      </c>
      <c r="D21" s="3" t="s">
        <v>1458</v>
      </c>
      <c r="E21" s="3" t="s">
        <v>1485</v>
      </c>
    </row>
    <row r="22" spans="1:5" ht="30" customHeight="1">
      <c r="A22" s="4" t="s">
        <v>1486</v>
      </c>
      <c r="B22" s="4" t="s">
        <v>446</v>
      </c>
      <c r="C22" s="4" t="s">
        <v>1487</v>
      </c>
      <c r="D22" s="4" t="s">
        <v>1437</v>
      </c>
      <c r="E22" s="4" t="s">
        <v>1488</v>
      </c>
    </row>
    <row r="23" spans="1:5" ht="48" customHeight="1">
      <c r="A23" s="3" t="s">
        <v>1489</v>
      </c>
      <c r="B23" s="3" t="s">
        <v>446</v>
      </c>
      <c r="C23" s="3" t="s">
        <v>1490</v>
      </c>
      <c r="D23" s="3" t="s">
        <v>1437</v>
      </c>
      <c r="E23" s="3" t="s">
        <v>64</v>
      </c>
    </row>
    <row r="24" spans="1:5" ht="30" customHeight="1">
      <c r="A24" s="4" t="s">
        <v>1491</v>
      </c>
      <c r="B24" s="4" t="s">
        <v>446</v>
      </c>
      <c r="C24" s="4" t="s">
        <v>1492</v>
      </c>
      <c r="D24" s="4" t="s">
        <v>1437</v>
      </c>
      <c r="E24" s="4" t="s">
        <v>1493</v>
      </c>
    </row>
    <row r="25" spans="1:5" ht="48" customHeight="1">
      <c r="A25" s="3" t="s">
        <v>1494</v>
      </c>
      <c r="B25" s="3" t="s">
        <v>1495</v>
      </c>
      <c r="C25" s="3" t="s">
        <v>1496</v>
      </c>
      <c r="D25" s="3" t="s">
        <v>1465</v>
      </c>
      <c r="E25" s="3" t="s">
        <v>1497</v>
      </c>
    </row>
    <row r="26" spans="1:5" ht="30" customHeight="1">
      <c r="A26" s="4" t="s">
        <v>1498</v>
      </c>
      <c r="B26" s="4" t="s">
        <v>1499</v>
      </c>
      <c r="C26" s="4" t="s">
        <v>1500</v>
      </c>
      <c r="D26" s="4" t="s">
        <v>1437</v>
      </c>
      <c r="E26" s="4" t="s">
        <v>1501</v>
      </c>
    </row>
    <row r="27" spans="1:5" ht="48" customHeight="1">
      <c r="A27" s="3" t="s">
        <v>1502</v>
      </c>
      <c r="B27" s="3" t="s">
        <v>537</v>
      </c>
      <c r="C27" s="3" t="s">
        <v>1503</v>
      </c>
      <c r="D27" s="3" t="s">
        <v>1437</v>
      </c>
      <c r="E27" s="3" t="s">
        <v>1504</v>
      </c>
    </row>
    <row r="28" spans="1:5" ht="48" customHeight="1">
      <c r="A28" s="4" t="s">
        <v>1505</v>
      </c>
      <c r="B28" s="4" t="s">
        <v>1506</v>
      </c>
      <c r="C28" s="4" t="s">
        <v>1507</v>
      </c>
      <c r="D28" s="4" t="s">
        <v>1437</v>
      </c>
      <c r="E28" s="4" t="s">
        <v>1508</v>
      </c>
    </row>
    <row r="29" spans="1:5" ht="48" customHeight="1">
      <c r="A29" s="3" t="s">
        <v>1509</v>
      </c>
      <c r="B29" s="3" t="s">
        <v>80</v>
      </c>
      <c r="C29" s="3" t="s">
        <v>1510</v>
      </c>
      <c r="D29" s="3" t="s">
        <v>1437</v>
      </c>
      <c r="E29" s="3" t="s">
        <v>1511</v>
      </c>
    </row>
    <row r="30" spans="1:5" ht="48" customHeight="1">
      <c r="A30" s="4" t="s">
        <v>1512</v>
      </c>
      <c r="B30" s="4" t="s">
        <v>80</v>
      </c>
      <c r="C30" s="4" t="s">
        <v>1513</v>
      </c>
      <c r="D30" s="4" t="s">
        <v>1437</v>
      </c>
      <c r="E30" s="4" t="s">
        <v>1514</v>
      </c>
    </row>
    <row r="31" spans="1:5" ht="48" customHeight="1">
      <c r="A31" s="3" t="s">
        <v>1515</v>
      </c>
      <c r="B31" s="3" t="s">
        <v>80</v>
      </c>
      <c r="C31" s="3" t="s">
        <v>1516</v>
      </c>
      <c r="D31" s="3" t="s">
        <v>1437</v>
      </c>
      <c r="E31" s="3" t="s">
        <v>1517</v>
      </c>
    </row>
    <row r="32" spans="1:5" ht="48" customHeight="1">
      <c r="A32" s="4" t="s">
        <v>1518</v>
      </c>
      <c r="B32" s="4" t="s">
        <v>186</v>
      </c>
      <c r="C32" s="4" t="s">
        <v>1519</v>
      </c>
      <c r="D32" s="4" t="s">
        <v>1437</v>
      </c>
      <c r="E32" s="4" t="s">
        <v>1520</v>
      </c>
    </row>
    <row r="33" spans="1:5" ht="48" customHeight="1">
      <c r="A33" s="3" t="s">
        <v>1521</v>
      </c>
      <c r="B33" s="3" t="s">
        <v>186</v>
      </c>
      <c r="C33" s="3" t="s">
        <v>1522</v>
      </c>
      <c r="D33" s="3" t="s">
        <v>1437</v>
      </c>
      <c r="E33" s="3" t="s">
        <v>1523</v>
      </c>
    </row>
    <row r="34" spans="1:5" ht="48" customHeight="1">
      <c r="A34" s="4" t="s">
        <v>1524</v>
      </c>
      <c r="B34" s="4" t="s">
        <v>80</v>
      </c>
      <c r="C34" s="4" t="s">
        <v>1525</v>
      </c>
      <c r="D34" s="4" t="s">
        <v>1437</v>
      </c>
      <c r="E34" s="4" t="s">
        <v>1526</v>
      </c>
    </row>
    <row r="35" spans="1:5" ht="30" customHeight="1">
      <c r="A35" s="3" t="s">
        <v>1527</v>
      </c>
      <c r="B35" s="3" t="s">
        <v>446</v>
      </c>
      <c r="C35" s="3" t="s">
        <v>1528</v>
      </c>
      <c r="D35" s="3" t="s">
        <v>1458</v>
      </c>
      <c r="E35" s="3" t="s">
        <v>1529</v>
      </c>
    </row>
    <row r="36" spans="1:5" ht="30" customHeight="1">
      <c r="A36" s="4" t="s">
        <v>1530</v>
      </c>
      <c r="B36" s="4" t="s">
        <v>446</v>
      </c>
      <c r="C36" s="4" t="s">
        <v>457</v>
      </c>
      <c r="D36" s="4" t="s">
        <v>1465</v>
      </c>
      <c r="E36" s="4" t="s">
        <v>1531</v>
      </c>
    </row>
    <row r="37" spans="1:5" ht="48" customHeight="1">
      <c r="A37" s="3" t="s">
        <v>1532</v>
      </c>
      <c r="B37" s="3" t="s">
        <v>537</v>
      </c>
      <c r="C37" s="3" t="s">
        <v>1533</v>
      </c>
      <c r="D37" s="3" t="s">
        <v>1437</v>
      </c>
      <c r="E37" s="3" t="s">
        <v>1534</v>
      </c>
    </row>
  </sheetData>
  <mergeCells count="2">
    <mergeCell ref="A1:E1"/>
    <mergeCell ref="A2:E2"/>
  </mergeCells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0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7"/>
  <cols>
    <col min="1" max="1" width="14" customWidth="1"/>
    <col min="2" max="3" width="26" customWidth="1"/>
    <col min="4" max="4" width="24" customWidth="1"/>
    <col min="5" max="5" width="16" customWidth="1"/>
    <col min="6" max="6" width="14" customWidth="1"/>
    <col min="7" max="7" width="12" customWidth="1"/>
    <col min="8" max="8" width="14" customWidth="1"/>
    <col min="9" max="9" width="40" customWidth="1"/>
  </cols>
  <sheetData>
    <row r="1" spans="1:9" ht="42" customHeight="1">
      <c r="A1" s="21" t="s">
        <v>1535</v>
      </c>
      <c r="B1" s="22"/>
      <c r="C1" s="22"/>
      <c r="D1" s="22"/>
      <c r="E1" s="22"/>
      <c r="F1" s="22"/>
      <c r="G1" s="22"/>
      <c r="H1" s="22"/>
      <c r="I1" s="22"/>
    </row>
    <row r="2" spans="1:9" ht="33" customHeight="1">
      <c r="A2" s="19" t="s">
        <v>1536</v>
      </c>
      <c r="B2" s="20"/>
      <c r="C2" s="20"/>
      <c r="D2" s="20"/>
      <c r="E2" s="20"/>
      <c r="F2" s="20"/>
      <c r="G2" s="20"/>
      <c r="H2" s="20"/>
      <c r="I2" s="20"/>
    </row>
    <row r="3" spans="1:9" ht="16" customHeight="1">
      <c r="A3" s="2"/>
      <c r="B3" s="2"/>
      <c r="C3" s="2"/>
      <c r="D3" s="2"/>
      <c r="E3" s="2"/>
      <c r="F3" s="2"/>
      <c r="G3" s="2"/>
      <c r="H3" s="2"/>
      <c r="I3" s="2"/>
    </row>
    <row r="4" spans="1:9" ht="48" customHeight="1">
      <c r="A4" s="7" t="s">
        <v>78</v>
      </c>
      <c r="B4" s="7" t="s">
        <v>80</v>
      </c>
      <c r="C4" s="7" t="s">
        <v>412</v>
      </c>
      <c r="D4" s="7" t="s">
        <v>388</v>
      </c>
      <c r="E4" s="7" t="s">
        <v>446</v>
      </c>
      <c r="F4" s="7" t="s">
        <v>537</v>
      </c>
      <c r="G4" s="7" t="s">
        <v>1499</v>
      </c>
      <c r="H4" s="7" t="s">
        <v>1495</v>
      </c>
      <c r="I4" s="7" t="s">
        <v>1537</v>
      </c>
    </row>
    <row r="5" spans="1:9" ht="48" customHeight="1">
      <c r="A5" s="3" t="s">
        <v>1538</v>
      </c>
      <c r="B5" s="3" t="s">
        <v>100</v>
      </c>
      <c r="C5" s="3" t="s">
        <v>1539</v>
      </c>
      <c r="D5" s="3" t="s">
        <v>100</v>
      </c>
      <c r="E5" s="3" t="s">
        <v>1540</v>
      </c>
      <c r="F5" s="3" t="s">
        <v>1541</v>
      </c>
      <c r="G5" s="3" t="s">
        <v>1542</v>
      </c>
      <c r="H5" s="3" t="s">
        <v>1543</v>
      </c>
      <c r="I5" s="3" t="s">
        <v>1544</v>
      </c>
    </row>
    <row r="6" spans="1:9" ht="30" customHeight="1">
      <c r="A6" s="4" t="s">
        <v>1545</v>
      </c>
      <c r="B6" s="4" t="s">
        <v>1546</v>
      </c>
      <c r="C6" s="4" t="s">
        <v>1547</v>
      </c>
      <c r="D6" s="4" t="s">
        <v>81</v>
      </c>
      <c r="E6" s="4" t="s">
        <v>1548</v>
      </c>
      <c r="F6" s="4" t="s">
        <v>1549</v>
      </c>
      <c r="G6" s="4" t="s">
        <v>1550</v>
      </c>
      <c r="H6" s="4" t="s">
        <v>1551</v>
      </c>
      <c r="I6" s="4" t="s">
        <v>1552</v>
      </c>
    </row>
    <row r="7" spans="1:9" ht="48" customHeight="1">
      <c r="A7" s="3" t="s">
        <v>1553</v>
      </c>
      <c r="B7" s="3" t="s">
        <v>1554</v>
      </c>
      <c r="C7" s="3" t="s">
        <v>1555</v>
      </c>
      <c r="D7" s="3" t="s">
        <v>1458</v>
      </c>
      <c r="E7" s="3" t="s">
        <v>106</v>
      </c>
      <c r="F7" s="3" t="s">
        <v>1556</v>
      </c>
      <c r="G7" s="3" t="s">
        <v>64</v>
      </c>
      <c r="H7" s="3" t="s">
        <v>1557</v>
      </c>
      <c r="I7" s="3" t="s">
        <v>1558</v>
      </c>
    </row>
    <row r="8" spans="1:9" ht="48" customHeight="1">
      <c r="A8" s="4" t="s">
        <v>1559</v>
      </c>
      <c r="B8" s="4" t="s">
        <v>1560</v>
      </c>
      <c r="C8" s="4" t="s">
        <v>1458</v>
      </c>
      <c r="D8" s="4" t="s">
        <v>1458</v>
      </c>
      <c r="E8" s="4" t="s">
        <v>1561</v>
      </c>
      <c r="F8" s="4" t="s">
        <v>64</v>
      </c>
      <c r="G8" s="4" t="s">
        <v>64</v>
      </c>
      <c r="H8" s="4" t="s">
        <v>1562</v>
      </c>
      <c r="I8" s="4" t="s">
        <v>1563</v>
      </c>
    </row>
    <row r="9" spans="1:9" ht="48" customHeight="1">
      <c r="A9" s="3" t="s">
        <v>1564</v>
      </c>
      <c r="B9" s="3" t="s">
        <v>1565</v>
      </c>
      <c r="C9" s="3" t="s">
        <v>1566</v>
      </c>
      <c r="D9" s="3" t="s">
        <v>1567</v>
      </c>
      <c r="E9" s="3" t="s">
        <v>1568</v>
      </c>
      <c r="F9" s="3" t="s">
        <v>1569</v>
      </c>
      <c r="G9" s="3" t="s">
        <v>1570</v>
      </c>
      <c r="H9" s="3" t="s">
        <v>1571</v>
      </c>
      <c r="I9" s="3" t="s">
        <v>1572</v>
      </c>
    </row>
    <row r="10" spans="1:9" ht="48" customHeight="1">
      <c r="A10" s="4" t="s">
        <v>1573</v>
      </c>
      <c r="B10" s="4" t="s">
        <v>1574</v>
      </c>
      <c r="C10" s="4" t="s">
        <v>1575</v>
      </c>
      <c r="D10" s="4" t="s">
        <v>146</v>
      </c>
      <c r="E10" s="4" t="s">
        <v>1576</v>
      </c>
      <c r="F10" s="4" t="s">
        <v>1577</v>
      </c>
      <c r="G10" s="4" t="s">
        <v>1578</v>
      </c>
      <c r="H10" s="4" t="s">
        <v>1579</v>
      </c>
      <c r="I10" s="4" t="s">
        <v>1580</v>
      </c>
    </row>
    <row r="11" spans="1:9" ht="48" customHeight="1">
      <c r="A11" s="3" t="s">
        <v>1581</v>
      </c>
      <c r="B11" s="3" t="s">
        <v>1582</v>
      </c>
      <c r="C11" s="3" t="s">
        <v>1583</v>
      </c>
      <c r="D11" s="3" t="s">
        <v>1584</v>
      </c>
      <c r="E11" s="3" t="s">
        <v>1585</v>
      </c>
      <c r="F11" s="3" t="s">
        <v>1586</v>
      </c>
      <c r="G11" s="3" t="s">
        <v>1587</v>
      </c>
      <c r="H11" s="3" t="s">
        <v>64</v>
      </c>
      <c r="I11" s="3" t="s">
        <v>1588</v>
      </c>
    </row>
    <row r="12" spans="1:9" ht="48" customHeight="1">
      <c r="A12" s="4" t="s">
        <v>1589</v>
      </c>
      <c r="B12" s="4" t="s">
        <v>1590</v>
      </c>
      <c r="C12" s="4" t="s">
        <v>1583</v>
      </c>
      <c r="D12" s="4" t="s">
        <v>1591</v>
      </c>
      <c r="E12" s="4" t="s">
        <v>1592</v>
      </c>
      <c r="F12" s="4" t="s">
        <v>1593</v>
      </c>
      <c r="G12" s="4" t="s">
        <v>64</v>
      </c>
      <c r="H12" s="4" t="s">
        <v>64</v>
      </c>
      <c r="I12" s="4" t="s">
        <v>1594</v>
      </c>
    </row>
    <row r="13" spans="1:9" ht="48" customHeight="1">
      <c r="A13" s="3" t="s">
        <v>1595</v>
      </c>
      <c r="B13" s="3" t="s">
        <v>1596</v>
      </c>
      <c r="C13" s="3" t="s">
        <v>1597</v>
      </c>
      <c r="D13" s="3" t="s">
        <v>1598</v>
      </c>
      <c r="E13" s="3" t="s">
        <v>1599</v>
      </c>
      <c r="F13" s="3" t="s">
        <v>1600</v>
      </c>
      <c r="G13" s="3" t="s">
        <v>64</v>
      </c>
      <c r="H13" s="3" t="s">
        <v>64</v>
      </c>
      <c r="I13" s="3" t="s">
        <v>1601</v>
      </c>
    </row>
    <row r="14" spans="1:9" ht="48" customHeight="1">
      <c r="A14" s="4" t="s">
        <v>1602</v>
      </c>
      <c r="B14" s="4" t="s">
        <v>1603</v>
      </c>
      <c r="C14" s="4" t="s">
        <v>1604</v>
      </c>
      <c r="D14" s="4" t="s">
        <v>1605</v>
      </c>
      <c r="E14" s="4" t="s">
        <v>64</v>
      </c>
      <c r="F14" s="4" t="s">
        <v>64</v>
      </c>
      <c r="G14" s="4" t="s">
        <v>64</v>
      </c>
      <c r="H14" s="4" t="s">
        <v>64</v>
      </c>
      <c r="I14" s="4" t="s">
        <v>1606</v>
      </c>
    </row>
    <row r="15" spans="1:9" ht="30" customHeight="1">
      <c r="A15" s="3" t="s">
        <v>1607</v>
      </c>
      <c r="B15" s="3" t="s">
        <v>1608</v>
      </c>
      <c r="C15" s="3" t="s">
        <v>1609</v>
      </c>
      <c r="D15" s="3" t="s">
        <v>64</v>
      </c>
      <c r="E15" s="3" t="s">
        <v>1610</v>
      </c>
      <c r="F15" s="3" t="s">
        <v>1611</v>
      </c>
      <c r="G15" s="3" t="s">
        <v>64</v>
      </c>
      <c r="H15" s="3" t="s">
        <v>1612</v>
      </c>
      <c r="I15" s="3" t="s">
        <v>64</v>
      </c>
    </row>
    <row r="16" spans="1:9" ht="48" customHeight="1">
      <c r="A16" s="4" t="s">
        <v>1473</v>
      </c>
      <c r="B16" s="4" t="s">
        <v>1613</v>
      </c>
      <c r="C16" s="4" t="s">
        <v>1614</v>
      </c>
      <c r="D16" s="4" t="s">
        <v>64</v>
      </c>
      <c r="E16" s="4" t="s">
        <v>64</v>
      </c>
      <c r="F16" s="4" t="s">
        <v>64</v>
      </c>
      <c r="G16" s="4" t="s">
        <v>64</v>
      </c>
      <c r="H16" s="4" t="s">
        <v>64</v>
      </c>
      <c r="I16" s="4" t="s">
        <v>1615</v>
      </c>
    </row>
    <row r="17" spans="1:9" ht="30" customHeight="1">
      <c r="A17" s="3" t="s">
        <v>1616</v>
      </c>
      <c r="B17" s="3" t="s">
        <v>1617</v>
      </c>
      <c r="C17" s="3" t="s">
        <v>1618</v>
      </c>
      <c r="D17" s="3" t="s">
        <v>64</v>
      </c>
      <c r="E17" s="3" t="s">
        <v>64</v>
      </c>
      <c r="F17" s="3" t="s">
        <v>64</v>
      </c>
      <c r="G17" s="3" t="s">
        <v>64</v>
      </c>
      <c r="H17" s="3" t="s">
        <v>64</v>
      </c>
      <c r="I17" s="3" t="s">
        <v>1619</v>
      </c>
    </row>
    <row r="18" spans="1:9" ht="48" customHeight="1">
      <c r="A18" s="4" t="s">
        <v>1467</v>
      </c>
      <c r="B18" s="4" t="s">
        <v>1458</v>
      </c>
      <c r="C18" s="4" t="s">
        <v>1620</v>
      </c>
      <c r="D18" s="4" t="s">
        <v>64</v>
      </c>
      <c r="E18" s="4" t="s">
        <v>1621</v>
      </c>
      <c r="F18" s="4" t="s">
        <v>1622</v>
      </c>
      <c r="G18" s="4" t="s">
        <v>64</v>
      </c>
      <c r="H18" s="4" t="s">
        <v>64</v>
      </c>
      <c r="I18" s="4" t="s">
        <v>1623</v>
      </c>
    </row>
    <row r="19" spans="1:9" ht="48" customHeight="1">
      <c r="A19" s="3" t="s">
        <v>1624</v>
      </c>
      <c r="B19" s="3" t="s">
        <v>1625</v>
      </c>
      <c r="C19" s="3" t="s">
        <v>1626</v>
      </c>
      <c r="D19" s="3" t="s">
        <v>64</v>
      </c>
      <c r="E19" s="3" t="s">
        <v>64</v>
      </c>
      <c r="F19" s="3" t="s">
        <v>64</v>
      </c>
      <c r="G19" s="3" t="s">
        <v>64</v>
      </c>
      <c r="H19" s="3" t="s">
        <v>64</v>
      </c>
      <c r="I19" s="3" t="s">
        <v>1627</v>
      </c>
    </row>
    <row r="20" spans="1:9" ht="48" customHeight="1">
      <c r="A20" s="4" t="s">
        <v>1628</v>
      </c>
      <c r="B20" s="4" t="s">
        <v>13</v>
      </c>
      <c r="C20" s="4" t="s">
        <v>1629</v>
      </c>
      <c r="D20" s="4" t="s">
        <v>28</v>
      </c>
      <c r="E20" s="4" t="s">
        <v>1630</v>
      </c>
      <c r="F20" s="4" t="s">
        <v>42</v>
      </c>
      <c r="G20" s="4" t="s">
        <v>1631</v>
      </c>
      <c r="H20" s="4" t="s">
        <v>1632</v>
      </c>
      <c r="I20" s="4" t="s">
        <v>1633</v>
      </c>
    </row>
  </sheetData>
  <mergeCells count="2">
    <mergeCell ref="A1:I1"/>
    <mergeCell ref="A2:I2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0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2" width="13" customWidth="1"/>
    <col min="3" max="3" width="52" customWidth="1"/>
    <col min="4" max="4" width="12" customWidth="1"/>
    <col min="5" max="5" width="40" customWidth="1"/>
    <col min="6" max="6" width="12" customWidth="1"/>
    <col min="7" max="7" width="26" customWidth="1"/>
  </cols>
  <sheetData>
    <row r="1" spans="1:7" ht="42" customHeight="1">
      <c r="A1" s="21" t="s">
        <v>1634</v>
      </c>
      <c r="B1" s="22"/>
      <c r="C1" s="22"/>
      <c r="D1" s="22"/>
      <c r="E1" s="22"/>
      <c r="F1" s="22"/>
      <c r="G1" s="22"/>
    </row>
    <row r="2" spans="1:7" ht="33" customHeight="1">
      <c r="A2" s="19" t="s">
        <v>1635</v>
      </c>
      <c r="B2" s="20"/>
      <c r="C2" s="20"/>
      <c r="D2" s="20"/>
      <c r="E2" s="20"/>
      <c r="F2" s="20"/>
      <c r="G2" s="20"/>
    </row>
    <row r="3" spans="1:7" ht="16" customHeight="1">
      <c r="A3" s="2"/>
      <c r="B3" s="2"/>
      <c r="C3" s="2"/>
      <c r="D3" s="2"/>
      <c r="E3" s="2"/>
      <c r="F3" s="2"/>
      <c r="G3" s="2"/>
    </row>
    <row r="4" spans="1:7" ht="66" customHeight="1">
      <c r="A4" s="7" t="s">
        <v>73</v>
      </c>
      <c r="B4" s="7" t="s">
        <v>1123</v>
      </c>
      <c r="C4" s="7" t="s">
        <v>1636</v>
      </c>
      <c r="D4" s="7" t="s">
        <v>1124</v>
      </c>
      <c r="E4" s="7" t="s">
        <v>1637</v>
      </c>
      <c r="F4" s="7" t="s">
        <v>1638</v>
      </c>
      <c r="G4" s="7" t="s">
        <v>1639</v>
      </c>
    </row>
    <row r="5" spans="1:7" ht="66" customHeight="1">
      <c r="A5" s="3" t="s">
        <v>536</v>
      </c>
      <c r="B5" s="3" t="s">
        <v>538</v>
      </c>
      <c r="C5" s="3" t="s">
        <v>1640</v>
      </c>
      <c r="D5" s="8">
        <v>23215</v>
      </c>
      <c r="E5" s="3" t="s">
        <v>1641</v>
      </c>
      <c r="F5" s="3" t="s">
        <v>1642</v>
      </c>
      <c r="G5" s="3" t="s">
        <v>1643</v>
      </c>
    </row>
    <row r="6" spans="1:7" ht="66" customHeight="1">
      <c r="A6" s="4" t="s">
        <v>560</v>
      </c>
      <c r="B6" s="4" t="s">
        <v>1644</v>
      </c>
      <c r="C6" s="4" t="s">
        <v>1645</v>
      </c>
      <c r="D6" s="9">
        <v>21959</v>
      </c>
      <c r="E6" s="4" t="s">
        <v>1641</v>
      </c>
      <c r="F6" s="4" t="s">
        <v>1642</v>
      </c>
      <c r="G6" s="4" t="s">
        <v>1643</v>
      </c>
    </row>
    <row r="7" spans="1:7" ht="66" customHeight="1">
      <c r="A7" s="3" t="s">
        <v>85</v>
      </c>
      <c r="B7" s="3" t="s">
        <v>1646</v>
      </c>
      <c r="C7" s="3" t="s">
        <v>1647</v>
      </c>
      <c r="D7" s="8">
        <v>12910</v>
      </c>
      <c r="E7" s="3" t="s">
        <v>1641</v>
      </c>
      <c r="F7" s="3" t="s">
        <v>1642</v>
      </c>
      <c r="G7" s="3" t="s">
        <v>85</v>
      </c>
    </row>
    <row r="8" spans="1:7" ht="66" customHeight="1">
      <c r="A8" s="4" t="s">
        <v>863</v>
      </c>
      <c r="B8" s="4" t="s">
        <v>1648</v>
      </c>
      <c r="C8" s="4" t="s">
        <v>1649</v>
      </c>
      <c r="D8" s="9">
        <v>22847</v>
      </c>
      <c r="E8" s="4" t="s">
        <v>1641</v>
      </c>
      <c r="F8" s="4" t="s">
        <v>1642</v>
      </c>
      <c r="G8" s="4" t="s">
        <v>1650</v>
      </c>
    </row>
    <row r="9" spans="1:7" ht="66" customHeight="1">
      <c r="A9" s="3" t="s">
        <v>572</v>
      </c>
      <c r="B9" s="3" t="s">
        <v>573</v>
      </c>
      <c r="C9" s="3" t="s">
        <v>1651</v>
      </c>
      <c r="D9" s="8">
        <v>22262</v>
      </c>
      <c r="E9" s="3" t="s">
        <v>1641</v>
      </c>
      <c r="F9" s="3" t="s">
        <v>1642</v>
      </c>
      <c r="G9" s="3" t="s">
        <v>1643</v>
      </c>
    </row>
    <row r="10" spans="1:7" ht="30" customHeight="1">
      <c r="A10" s="4" t="s">
        <v>887</v>
      </c>
      <c r="B10" s="4" t="s">
        <v>1652</v>
      </c>
      <c r="C10" s="4" t="s">
        <v>1653</v>
      </c>
      <c r="D10" s="9">
        <v>6337</v>
      </c>
      <c r="E10" s="4" t="s">
        <v>1654</v>
      </c>
      <c r="F10" s="4" t="s">
        <v>1642</v>
      </c>
      <c r="G10" s="4" t="s">
        <v>1655</v>
      </c>
    </row>
    <row r="11" spans="1:7" ht="30" customHeight="1">
      <c r="A11" s="3" t="s">
        <v>85</v>
      </c>
      <c r="B11" s="3" t="s">
        <v>1656</v>
      </c>
      <c r="C11" s="3" t="s">
        <v>1657</v>
      </c>
      <c r="D11" s="8">
        <v>6330</v>
      </c>
      <c r="E11" s="3" t="s">
        <v>1654</v>
      </c>
      <c r="F11" s="3" t="s">
        <v>1642</v>
      </c>
      <c r="G11" s="3" t="s">
        <v>85</v>
      </c>
    </row>
    <row r="12" spans="1:7" ht="30" customHeight="1">
      <c r="A12" s="4" t="s">
        <v>85</v>
      </c>
      <c r="B12" s="4" t="s">
        <v>1658</v>
      </c>
      <c r="C12" s="4" t="s">
        <v>1659</v>
      </c>
      <c r="D12" s="9">
        <v>6310</v>
      </c>
      <c r="E12" s="4" t="s">
        <v>1654</v>
      </c>
      <c r="F12" s="4" t="s">
        <v>1642</v>
      </c>
      <c r="G12" s="4" t="s">
        <v>85</v>
      </c>
    </row>
    <row r="13" spans="1:7" ht="30" customHeight="1">
      <c r="A13" s="3" t="s">
        <v>1660</v>
      </c>
      <c r="B13" s="3" t="s">
        <v>1661</v>
      </c>
      <c r="C13" s="3" t="s">
        <v>1662</v>
      </c>
      <c r="D13" s="8">
        <v>8727</v>
      </c>
      <c r="E13" s="3" t="s">
        <v>1663</v>
      </c>
      <c r="F13" s="3" t="s">
        <v>1664</v>
      </c>
      <c r="G13" s="3" t="s">
        <v>1665</v>
      </c>
    </row>
    <row r="14" spans="1:7" ht="30" customHeight="1">
      <c r="A14" s="4" t="s">
        <v>879</v>
      </c>
      <c r="B14" s="4" t="s">
        <v>1666</v>
      </c>
      <c r="C14" s="4" t="s">
        <v>1667</v>
      </c>
      <c r="D14" s="9">
        <v>3793</v>
      </c>
      <c r="E14" s="4" t="s">
        <v>1668</v>
      </c>
      <c r="F14" s="4" t="s">
        <v>1664</v>
      </c>
      <c r="G14" s="4" t="s">
        <v>1669</v>
      </c>
    </row>
    <row r="15" spans="1:7" ht="30" customHeight="1">
      <c r="A15" s="3" t="s">
        <v>85</v>
      </c>
      <c r="B15" s="3" t="s">
        <v>1670</v>
      </c>
      <c r="C15" s="3" t="s">
        <v>1671</v>
      </c>
      <c r="D15" s="8">
        <v>1560</v>
      </c>
      <c r="E15" s="3" t="s">
        <v>1672</v>
      </c>
      <c r="F15" s="3" t="s">
        <v>1664</v>
      </c>
      <c r="G15" s="3" t="s">
        <v>85</v>
      </c>
    </row>
    <row r="16" spans="1:7" ht="30" customHeight="1">
      <c r="A16" s="4" t="s">
        <v>85</v>
      </c>
      <c r="B16" s="4" t="s">
        <v>1673</v>
      </c>
      <c r="C16" s="4" t="s">
        <v>1674</v>
      </c>
      <c r="D16" s="9">
        <v>1193</v>
      </c>
      <c r="E16" s="4" t="s">
        <v>1380</v>
      </c>
      <c r="F16" s="4" t="s">
        <v>1642</v>
      </c>
      <c r="G16" s="4" t="s">
        <v>85</v>
      </c>
    </row>
    <row r="17" spans="1:7" ht="48" customHeight="1">
      <c r="A17" s="3" t="s">
        <v>745</v>
      </c>
      <c r="B17" s="3" t="s">
        <v>1675</v>
      </c>
      <c r="C17" s="3" t="s">
        <v>1676</v>
      </c>
      <c r="D17" s="8">
        <v>2698</v>
      </c>
      <c r="E17" s="3" t="s">
        <v>1677</v>
      </c>
      <c r="F17" s="3" t="s">
        <v>1664</v>
      </c>
      <c r="G17" s="3" t="s">
        <v>1678</v>
      </c>
    </row>
    <row r="18" spans="1:7" ht="48" customHeight="1">
      <c r="A18" s="4" t="s">
        <v>85</v>
      </c>
      <c r="B18" s="4" t="s">
        <v>1679</v>
      </c>
      <c r="C18" s="4" t="s">
        <v>1680</v>
      </c>
      <c r="D18" s="9">
        <v>2650</v>
      </c>
      <c r="E18" s="4" t="s">
        <v>1681</v>
      </c>
      <c r="F18" s="4" t="s">
        <v>1664</v>
      </c>
      <c r="G18" s="4" t="s">
        <v>85</v>
      </c>
    </row>
    <row r="19" spans="1:7" ht="48" customHeight="1">
      <c r="A19" s="3" t="s">
        <v>85</v>
      </c>
      <c r="B19" s="3" t="s">
        <v>1682</v>
      </c>
      <c r="C19" s="3" t="s">
        <v>1683</v>
      </c>
      <c r="D19" s="8">
        <v>2531</v>
      </c>
      <c r="E19" s="3" t="s">
        <v>1684</v>
      </c>
      <c r="F19" s="3" t="s">
        <v>1642</v>
      </c>
      <c r="G19" s="3" t="s">
        <v>85</v>
      </c>
    </row>
    <row r="20" spans="1:7" ht="66" customHeight="1">
      <c r="A20" s="4" t="s">
        <v>869</v>
      </c>
      <c r="B20" s="4" t="s">
        <v>1685</v>
      </c>
      <c r="C20" s="4" t="s">
        <v>1686</v>
      </c>
      <c r="D20" s="9">
        <v>22188</v>
      </c>
      <c r="E20" s="4" t="s">
        <v>1641</v>
      </c>
      <c r="F20" s="4" t="s">
        <v>1642</v>
      </c>
      <c r="G20" s="4" t="s">
        <v>1687</v>
      </c>
    </row>
    <row r="21" spans="1:7" ht="30" customHeight="1">
      <c r="A21" s="3" t="s">
        <v>85</v>
      </c>
      <c r="B21" s="3" t="s">
        <v>1688</v>
      </c>
      <c r="C21" s="3" t="s">
        <v>1689</v>
      </c>
      <c r="D21" s="8">
        <v>2609</v>
      </c>
      <c r="E21" s="3" t="s">
        <v>1690</v>
      </c>
      <c r="F21" s="3" t="s">
        <v>1664</v>
      </c>
      <c r="G21" s="3" t="s">
        <v>85</v>
      </c>
    </row>
    <row r="22" spans="1:7" ht="48" customHeight="1">
      <c r="A22" s="4" t="s">
        <v>85</v>
      </c>
      <c r="B22" s="4" t="s">
        <v>1691</v>
      </c>
      <c r="C22" s="4" t="s">
        <v>1692</v>
      </c>
      <c r="D22" s="9">
        <v>1502</v>
      </c>
      <c r="E22" s="4" t="s">
        <v>1693</v>
      </c>
      <c r="F22" s="4" t="s">
        <v>1664</v>
      </c>
      <c r="G22" s="4" t="s">
        <v>85</v>
      </c>
    </row>
    <row r="23" spans="1:7" ht="48" customHeight="1">
      <c r="A23" s="3" t="s">
        <v>928</v>
      </c>
      <c r="B23" s="3" t="s">
        <v>1694</v>
      </c>
      <c r="C23" s="3" t="s">
        <v>1695</v>
      </c>
      <c r="D23" s="8">
        <v>8545</v>
      </c>
      <c r="E23" s="3" t="s">
        <v>1696</v>
      </c>
      <c r="F23" s="3" t="s">
        <v>1642</v>
      </c>
      <c r="G23" s="3" t="s">
        <v>1697</v>
      </c>
    </row>
    <row r="24" spans="1:7" ht="30" customHeight="1">
      <c r="A24" s="4" t="s">
        <v>85</v>
      </c>
      <c r="B24" s="4" t="s">
        <v>1698</v>
      </c>
      <c r="C24" s="4" t="s">
        <v>1699</v>
      </c>
      <c r="D24" s="9">
        <v>5690</v>
      </c>
      <c r="E24" s="4" t="s">
        <v>1700</v>
      </c>
      <c r="F24" s="4" t="s">
        <v>1642</v>
      </c>
      <c r="G24" s="4" t="s">
        <v>85</v>
      </c>
    </row>
    <row r="25" spans="1:7" ht="30" customHeight="1">
      <c r="A25" s="3" t="s">
        <v>85</v>
      </c>
      <c r="B25" s="3" t="s">
        <v>1701</v>
      </c>
      <c r="C25" s="3" t="s">
        <v>1702</v>
      </c>
      <c r="D25" s="8">
        <v>3584</v>
      </c>
      <c r="E25" s="3" t="s">
        <v>1703</v>
      </c>
      <c r="F25" s="3" t="s">
        <v>1642</v>
      </c>
      <c r="G25" s="3" t="s">
        <v>85</v>
      </c>
    </row>
    <row r="26" spans="1:7" ht="48" customHeight="1">
      <c r="A26" s="4" t="s">
        <v>1704</v>
      </c>
      <c r="B26" s="4" t="s">
        <v>1705</v>
      </c>
      <c r="C26" s="4" t="s">
        <v>1706</v>
      </c>
      <c r="D26" s="9">
        <v>1210</v>
      </c>
      <c r="E26" s="4" t="s">
        <v>1356</v>
      </c>
      <c r="F26" s="4" t="s">
        <v>1664</v>
      </c>
      <c r="G26" s="4" t="s">
        <v>1707</v>
      </c>
    </row>
    <row r="27" spans="1:7" ht="30" customHeight="1">
      <c r="A27" s="3" t="s">
        <v>85</v>
      </c>
      <c r="B27" s="3" t="s">
        <v>1708</v>
      </c>
      <c r="C27" s="3" t="s">
        <v>1709</v>
      </c>
      <c r="D27" s="8">
        <v>1203</v>
      </c>
      <c r="E27" s="3" t="s">
        <v>1356</v>
      </c>
      <c r="F27" s="3" t="s">
        <v>1664</v>
      </c>
      <c r="G27" s="3" t="s">
        <v>85</v>
      </c>
    </row>
    <row r="28" spans="1:7" ht="48" customHeight="1">
      <c r="A28" s="4" t="s">
        <v>85</v>
      </c>
      <c r="B28" s="4" t="s">
        <v>1710</v>
      </c>
      <c r="C28" s="4" t="s">
        <v>1711</v>
      </c>
      <c r="D28" s="9">
        <v>539</v>
      </c>
      <c r="E28" s="4" t="s">
        <v>1693</v>
      </c>
      <c r="F28" s="4" t="s">
        <v>1664</v>
      </c>
      <c r="G28" s="4" t="s">
        <v>85</v>
      </c>
    </row>
    <row r="29" spans="1:7" ht="30" customHeight="1">
      <c r="A29" s="3" t="s">
        <v>752</v>
      </c>
      <c r="B29" s="3" t="s">
        <v>753</v>
      </c>
      <c r="C29" s="3" t="s">
        <v>1712</v>
      </c>
      <c r="D29" s="8">
        <v>4130</v>
      </c>
      <c r="E29" s="3" t="s">
        <v>1713</v>
      </c>
      <c r="F29" s="3" t="s">
        <v>1642</v>
      </c>
      <c r="G29" s="3" t="s">
        <v>1714</v>
      </c>
    </row>
    <row r="30" spans="1:7" ht="30" customHeight="1">
      <c r="A30" s="4" t="s">
        <v>85</v>
      </c>
      <c r="B30" s="4" t="s">
        <v>1715</v>
      </c>
      <c r="C30" s="4" t="s">
        <v>1716</v>
      </c>
      <c r="D30" s="9">
        <v>4129</v>
      </c>
      <c r="E30" s="4" t="s">
        <v>1713</v>
      </c>
      <c r="F30" s="4" t="s">
        <v>1642</v>
      </c>
      <c r="G30" s="4" t="s">
        <v>85</v>
      </c>
    </row>
    <row r="31" spans="1:7" ht="30" customHeight="1">
      <c r="A31" s="3" t="s">
        <v>85</v>
      </c>
      <c r="B31" s="3" t="s">
        <v>1717</v>
      </c>
      <c r="C31" s="3" t="s">
        <v>1718</v>
      </c>
      <c r="D31" s="8">
        <v>4126</v>
      </c>
      <c r="E31" s="3" t="s">
        <v>1713</v>
      </c>
      <c r="F31" s="3" t="s">
        <v>1642</v>
      </c>
      <c r="G31" s="3" t="s">
        <v>85</v>
      </c>
    </row>
    <row r="32" spans="1:7" ht="30" customHeight="1">
      <c r="A32" s="4" t="s">
        <v>758</v>
      </c>
      <c r="B32" s="4" t="s">
        <v>1719</v>
      </c>
      <c r="C32" s="4" t="s">
        <v>1720</v>
      </c>
      <c r="D32" s="9">
        <v>4074</v>
      </c>
      <c r="E32" s="4" t="s">
        <v>1713</v>
      </c>
      <c r="F32" s="4" t="s">
        <v>1642</v>
      </c>
      <c r="G32" s="4" t="s">
        <v>1721</v>
      </c>
    </row>
    <row r="33" spans="1:7" ht="30" customHeight="1">
      <c r="A33" s="3" t="s">
        <v>85</v>
      </c>
      <c r="B33" s="3" t="s">
        <v>1722</v>
      </c>
      <c r="C33" s="3" t="s">
        <v>1723</v>
      </c>
      <c r="D33" s="8">
        <v>2663</v>
      </c>
      <c r="E33" s="3" t="s">
        <v>1724</v>
      </c>
      <c r="F33" s="3" t="s">
        <v>1664</v>
      </c>
      <c r="G33" s="3" t="s">
        <v>85</v>
      </c>
    </row>
    <row r="34" spans="1:7" ht="30" customHeight="1">
      <c r="A34" s="4" t="s">
        <v>85</v>
      </c>
      <c r="B34" s="4" t="s">
        <v>1725</v>
      </c>
      <c r="C34" s="4" t="s">
        <v>1726</v>
      </c>
      <c r="D34" s="9">
        <v>2662</v>
      </c>
      <c r="E34" s="4" t="s">
        <v>1724</v>
      </c>
      <c r="F34" s="4" t="s">
        <v>1664</v>
      </c>
      <c r="G34" s="4" t="s">
        <v>85</v>
      </c>
    </row>
    <row r="35" spans="1:7" ht="30" customHeight="1">
      <c r="A35" s="3" t="s">
        <v>1727</v>
      </c>
      <c r="B35" s="3" t="s">
        <v>1728</v>
      </c>
      <c r="C35" s="3" t="s">
        <v>1729</v>
      </c>
      <c r="D35" s="8">
        <v>4077</v>
      </c>
      <c r="E35" s="3" t="s">
        <v>1713</v>
      </c>
      <c r="F35" s="3" t="s">
        <v>1642</v>
      </c>
      <c r="G35" s="3" t="s">
        <v>1730</v>
      </c>
    </row>
    <row r="36" spans="1:7" ht="48" customHeight="1">
      <c r="A36" s="4" t="s">
        <v>765</v>
      </c>
      <c r="B36" s="4" t="s">
        <v>766</v>
      </c>
      <c r="C36" s="4" t="s">
        <v>1731</v>
      </c>
      <c r="D36" s="9">
        <v>2202</v>
      </c>
      <c r="E36" s="4" t="s">
        <v>1732</v>
      </c>
      <c r="F36" s="4" t="s">
        <v>1642</v>
      </c>
      <c r="G36" s="4" t="s">
        <v>1733</v>
      </c>
    </row>
    <row r="37" spans="1:7" ht="30" customHeight="1">
      <c r="A37" s="3" t="s">
        <v>85</v>
      </c>
      <c r="B37" s="3" t="s">
        <v>1734</v>
      </c>
      <c r="C37" s="3" t="s">
        <v>1735</v>
      </c>
      <c r="D37" s="8">
        <v>1191</v>
      </c>
      <c r="E37" s="3" t="s">
        <v>1380</v>
      </c>
      <c r="F37" s="3" t="s">
        <v>1642</v>
      </c>
      <c r="G37" s="3" t="s">
        <v>85</v>
      </c>
    </row>
    <row r="38" spans="1:7" ht="30" customHeight="1">
      <c r="A38" s="4" t="s">
        <v>1736</v>
      </c>
      <c r="B38" s="4" t="s">
        <v>1737</v>
      </c>
      <c r="C38" s="4" t="s">
        <v>1738</v>
      </c>
      <c r="D38" s="9">
        <v>1050</v>
      </c>
      <c r="E38" s="4" t="s">
        <v>1394</v>
      </c>
      <c r="F38" s="4" t="s">
        <v>1664</v>
      </c>
      <c r="G38" s="4" t="s">
        <v>1739</v>
      </c>
    </row>
    <row r="39" spans="1:7" ht="48" customHeight="1">
      <c r="A39" s="3" t="s">
        <v>934</v>
      </c>
      <c r="B39" s="3" t="s">
        <v>1740</v>
      </c>
      <c r="C39" s="3" t="s">
        <v>1741</v>
      </c>
      <c r="D39" s="8">
        <v>4999</v>
      </c>
      <c r="E39" s="3" t="s">
        <v>1742</v>
      </c>
      <c r="F39" s="3" t="s">
        <v>1642</v>
      </c>
      <c r="G39" s="3" t="s">
        <v>1743</v>
      </c>
    </row>
    <row r="40" spans="1:7" ht="30" customHeight="1">
      <c r="A40" s="4" t="s">
        <v>85</v>
      </c>
      <c r="B40" s="4" t="s">
        <v>1744</v>
      </c>
      <c r="C40" s="4" t="s">
        <v>1745</v>
      </c>
      <c r="D40" s="9">
        <v>4967</v>
      </c>
      <c r="E40" s="4" t="s">
        <v>1746</v>
      </c>
      <c r="F40" s="4" t="s">
        <v>1664</v>
      </c>
      <c r="G40" s="4" t="s">
        <v>85</v>
      </c>
    </row>
    <row r="41" spans="1:7" ht="48" customHeight="1">
      <c r="A41" s="3" t="s">
        <v>85</v>
      </c>
      <c r="B41" s="3" t="s">
        <v>1747</v>
      </c>
      <c r="C41" s="3" t="s">
        <v>1748</v>
      </c>
      <c r="D41" s="8">
        <v>3813</v>
      </c>
      <c r="E41" s="3" t="s">
        <v>1668</v>
      </c>
      <c r="F41" s="3" t="s">
        <v>1664</v>
      </c>
      <c r="G41" s="3" t="s">
        <v>85</v>
      </c>
    </row>
    <row r="42" spans="1:7" ht="30" customHeight="1">
      <c r="A42" s="4" t="s">
        <v>1749</v>
      </c>
      <c r="B42" s="4" t="s">
        <v>1750</v>
      </c>
      <c r="C42" s="4" t="s">
        <v>1751</v>
      </c>
      <c r="D42" s="9">
        <v>4994</v>
      </c>
      <c r="E42" s="4" t="s">
        <v>1746</v>
      </c>
      <c r="F42" s="4" t="s">
        <v>1664</v>
      </c>
      <c r="G42" s="4" t="s">
        <v>1752</v>
      </c>
    </row>
    <row r="43" spans="1:7" ht="30" customHeight="1">
      <c r="A43" s="3" t="s">
        <v>85</v>
      </c>
      <c r="B43" s="3" t="s">
        <v>1753</v>
      </c>
      <c r="C43" s="3" t="s">
        <v>1754</v>
      </c>
      <c r="D43" s="8">
        <v>3614</v>
      </c>
      <c r="E43" s="3" t="s">
        <v>1703</v>
      </c>
      <c r="F43" s="3" t="s">
        <v>1642</v>
      </c>
      <c r="G43" s="3" t="s">
        <v>85</v>
      </c>
    </row>
    <row r="44" spans="1:7" ht="48" customHeight="1">
      <c r="A44" s="4" t="s">
        <v>85</v>
      </c>
      <c r="B44" s="4" t="s">
        <v>1755</v>
      </c>
      <c r="C44" s="4" t="s">
        <v>1756</v>
      </c>
      <c r="D44" s="9">
        <v>2662</v>
      </c>
      <c r="E44" s="4" t="s">
        <v>1724</v>
      </c>
      <c r="F44" s="4" t="s">
        <v>1664</v>
      </c>
      <c r="G44" s="4" t="s">
        <v>85</v>
      </c>
    </row>
    <row r="45" spans="1:7" ht="30" customHeight="1">
      <c r="A45" s="3" t="s">
        <v>916</v>
      </c>
      <c r="B45" s="3" t="s">
        <v>1757</v>
      </c>
      <c r="C45" s="3" t="s">
        <v>1758</v>
      </c>
      <c r="D45" s="8">
        <v>1534</v>
      </c>
      <c r="E45" s="3" t="s">
        <v>1351</v>
      </c>
      <c r="F45" s="3" t="s">
        <v>1664</v>
      </c>
      <c r="G45" s="3" t="s">
        <v>1759</v>
      </c>
    </row>
    <row r="46" spans="1:7" ht="30" customHeight="1">
      <c r="A46" s="4" t="s">
        <v>85</v>
      </c>
      <c r="B46" s="4" t="s">
        <v>1760</v>
      </c>
      <c r="C46" s="4" t="s">
        <v>1761</v>
      </c>
      <c r="D46" s="9">
        <v>1210</v>
      </c>
      <c r="E46" s="4" t="s">
        <v>1376</v>
      </c>
      <c r="F46" s="4" t="s">
        <v>1664</v>
      </c>
      <c r="G46" s="4" t="s">
        <v>85</v>
      </c>
    </row>
    <row r="47" spans="1:7" ht="48" customHeight="1">
      <c r="A47" s="3" t="s">
        <v>85</v>
      </c>
      <c r="B47" s="3" t="s">
        <v>1762</v>
      </c>
      <c r="C47" s="3" t="s">
        <v>1763</v>
      </c>
      <c r="D47" s="8">
        <v>1209</v>
      </c>
      <c r="E47" s="3" t="s">
        <v>1376</v>
      </c>
      <c r="F47" s="3" t="s">
        <v>1664</v>
      </c>
      <c r="G47" s="3" t="s">
        <v>85</v>
      </c>
    </row>
    <row r="48" spans="1:7" ht="48" customHeight="1">
      <c r="A48" s="4" t="s">
        <v>1764</v>
      </c>
      <c r="B48" s="4" t="s">
        <v>1765</v>
      </c>
      <c r="C48" s="4" t="s">
        <v>1766</v>
      </c>
      <c r="D48" s="9">
        <v>1202</v>
      </c>
      <c r="E48" s="4" t="s">
        <v>1380</v>
      </c>
      <c r="F48" s="4" t="s">
        <v>1642</v>
      </c>
      <c r="G48" s="4" t="s">
        <v>1767</v>
      </c>
    </row>
    <row r="49" spans="1:7" ht="30" customHeight="1">
      <c r="A49" s="3" t="s">
        <v>902</v>
      </c>
      <c r="B49" s="3" t="s">
        <v>1768</v>
      </c>
      <c r="C49" s="3" t="s">
        <v>1769</v>
      </c>
      <c r="D49" s="8">
        <v>2245</v>
      </c>
      <c r="E49" s="3" t="s">
        <v>1770</v>
      </c>
      <c r="F49" s="3" t="s">
        <v>1664</v>
      </c>
      <c r="G49" s="3" t="s">
        <v>1771</v>
      </c>
    </row>
    <row r="50" spans="1:7" ht="30" customHeight="1">
      <c r="A50" s="4" t="s">
        <v>85</v>
      </c>
      <c r="B50" s="4" t="s">
        <v>1772</v>
      </c>
      <c r="C50" s="4" t="s">
        <v>1773</v>
      </c>
      <c r="D50" s="9">
        <v>1202</v>
      </c>
      <c r="E50" s="4" t="s">
        <v>1376</v>
      </c>
      <c r="F50" s="4" t="s">
        <v>1664</v>
      </c>
      <c r="G50" s="4" t="s">
        <v>85</v>
      </c>
    </row>
    <row r="51" spans="1:7" ht="30" customHeight="1">
      <c r="A51" s="3" t="s">
        <v>85</v>
      </c>
      <c r="B51" s="3" t="s">
        <v>1774</v>
      </c>
      <c r="C51" s="3" t="s">
        <v>1775</v>
      </c>
      <c r="D51" s="8">
        <v>1035</v>
      </c>
      <c r="E51" s="3" t="s">
        <v>1394</v>
      </c>
      <c r="F51" s="3" t="s">
        <v>1664</v>
      </c>
      <c r="G51" s="3" t="s">
        <v>85</v>
      </c>
    </row>
    <row r="52" spans="1:7" ht="30" customHeight="1">
      <c r="A52" s="4" t="s">
        <v>909</v>
      </c>
      <c r="B52" s="4" t="s">
        <v>1776</v>
      </c>
      <c r="C52" s="4" t="s">
        <v>1777</v>
      </c>
      <c r="D52" s="9">
        <v>2428</v>
      </c>
      <c r="E52" s="4" t="s">
        <v>1778</v>
      </c>
      <c r="F52" s="4" t="s">
        <v>1664</v>
      </c>
      <c r="G52" s="4" t="s">
        <v>1779</v>
      </c>
    </row>
    <row r="53" spans="1:7" ht="48" customHeight="1">
      <c r="A53" s="3" t="s">
        <v>85</v>
      </c>
      <c r="B53" s="3" t="s">
        <v>1780</v>
      </c>
      <c r="C53" s="3" t="s">
        <v>1781</v>
      </c>
      <c r="D53" s="8">
        <v>1210</v>
      </c>
      <c r="E53" s="3" t="s">
        <v>1376</v>
      </c>
      <c r="F53" s="3" t="s">
        <v>1664</v>
      </c>
      <c r="G53" s="3" t="s">
        <v>85</v>
      </c>
    </row>
    <row r="54" spans="1:7" ht="48" customHeight="1">
      <c r="A54" s="4" t="s">
        <v>85</v>
      </c>
      <c r="B54" s="4" t="s">
        <v>1782</v>
      </c>
      <c r="C54" s="4" t="s">
        <v>1783</v>
      </c>
      <c r="D54" s="9">
        <v>1210</v>
      </c>
      <c r="E54" s="4" t="s">
        <v>1376</v>
      </c>
      <c r="F54" s="4" t="s">
        <v>1664</v>
      </c>
      <c r="G54" s="4" t="s">
        <v>85</v>
      </c>
    </row>
    <row r="55" spans="1:7" ht="48" customHeight="1">
      <c r="A55" s="3" t="s">
        <v>1784</v>
      </c>
      <c r="B55" s="3" t="s">
        <v>1785</v>
      </c>
      <c r="C55" s="3" t="s">
        <v>1786</v>
      </c>
      <c r="D55" s="8">
        <v>2848</v>
      </c>
      <c r="E55" s="3" t="s">
        <v>1787</v>
      </c>
      <c r="F55" s="3" t="s">
        <v>1664</v>
      </c>
      <c r="G55" s="3" t="s">
        <v>1788</v>
      </c>
    </row>
    <row r="56" spans="1:7" ht="30" customHeight="1">
      <c r="A56" s="4" t="s">
        <v>85</v>
      </c>
      <c r="B56" s="4" t="s">
        <v>1789</v>
      </c>
      <c r="C56" s="4" t="s">
        <v>1790</v>
      </c>
      <c r="D56" s="9">
        <v>2848</v>
      </c>
      <c r="E56" s="4" t="s">
        <v>1787</v>
      </c>
      <c r="F56" s="4" t="s">
        <v>1664</v>
      </c>
      <c r="G56" s="4" t="s">
        <v>85</v>
      </c>
    </row>
    <row r="57" spans="1:7" ht="30" customHeight="1">
      <c r="A57" s="3" t="s">
        <v>85</v>
      </c>
      <c r="B57" s="3" t="s">
        <v>1791</v>
      </c>
      <c r="C57" s="3" t="s">
        <v>1792</v>
      </c>
      <c r="D57" s="8">
        <v>1825</v>
      </c>
      <c r="E57" s="3" t="s">
        <v>1793</v>
      </c>
      <c r="F57" s="3" t="s">
        <v>1664</v>
      </c>
      <c r="G57" s="3" t="s">
        <v>85</v>
      </c>
    </row>
    <row r="58" spans="1:7" ht="30" customHeight="1">
      <c r="A58" s="4" t="s">
        <v>677</v>
      </c>
      <c r="B58" s="4" t="s">
        <v>1794</v>
      </c>
      <c r="C58" s="4" t="s">
        <v>1795</v>
      </c>
      <c r="D58" s="9">
        <v>1396</v>
      </c>
      <c r="E58" s="4" t="s">
        <v>1796</v>
      </c>
      <c r="F58" s="4" t="s">
        <v>1664</v>
      </c>
      <c r="G58" s="4" t="s">
        <v>1797</v>
      </c>
    </row>
    <row r="59" spans="1:7" ht="48" customHeight="1">
      <c r="A59" s="3" t="s">
        <v>85</v>
      </c>
      <c r="B59" s="3" t="s">
        <v>1798</v>
      </c>
      <c r="C59" s="3" t="s">
        <v>1799</v>
      </c>
      <c r="D59" s="8">
        <v>1396</v>
      </c>
      <c r="E59" s="3" t="s">
        <v>1796</v>
      </c>
      <c r="F59" s="3" t="s">
        <v>1664</v>
      </c>
      <c r="G59" s="3" t="s">
        <v>85</v>
      </c>
    </row>
    <row r="60" spans="1:7" ht="48" customHeight="1">
      <c r="A60" s="4" t="s">
        <v>85</v>
      </c>
      <c r="B60" s="4" t="s">
        <v>1800</v>
      </c>
      <c r="C60" s="4" t="s">
        <v>1801</v>
      </c>
      <c r="D60" s="9">
        <v>1396</v>
      </c>
      <c r="E60" s="4" t="s">
        <v>1796</v>
      </c>
      <c r="F60" s="4" t="s">
        <v>1664</v>
      </c>
      <c r="G60" s="4" t="s">
        <v>85</v>
      </c>
    </row>
    <row r="61" spans="1:7" ht="30" customHeight="1">
      <c r="A61" s="3" t="s">
        <v>921</v>
      </c>
      <c r="B61" s="3" t="s">
        <v>1802</v>
      </c>
      <c r="C61" s="3" t="s">
        <v>1803</v>
      </c>
      <c r="D61" s="8">
        <v>1531</v>
      </c>
      <c r="E61" s="3" t="s">
        <v>1351</v>
      </c>
      <c r="F61" s="3" t="s">
        <v>1664</v>
      </c>
      <c r="G61" s="3" t="s">
        <v>1804</v>
      </c>
    </row>
    <row r="62" spans="1:7" ht="48" customHeight="1">
      <c r="A62" s="4" t="s">
        <v>85</v>
      </c>
      <c r="B62" s="4" t="s">
        <v>1805</v>
      </c>
      <c r="C62" s="4" t="s">
        <v>1806</v>
      </c>
      <c r="D62" s="9">
        <v>1207</v>
      </c>
      <c r="E62" s="4" t="s">
        <v>1376</v>
      </c>
      <c r="F62" s="4" t="s">
        <v>1664</v>
      </c>
      <c r="G62" s="4" t="s">
        <v>85</v>
      </c>
    </row>
    <row r="63" spans="1:7" ht="48" customHeight="1">
      <c r="A63" s="3" t="s">
        <v>85</v>
      </c>
      <c r="B63" s="3" t="s">
        <v>1807</v>
      </c>
      <c r="C63" s="3" t="s">
        <v>1808</v>
      </c>
      <c r="D63" s="8">
        <v>1204</v>
      </c>
      <c r="E63" s="3" t="s">
        <v>1376</v>
      </c>
      <c r="F63" s="3" t="s">
        <v>1664</v>
      </c>
      <c r="G63" s="3" t="s">
        <v>85</v>
      </c>
    </row>
    <row r="64" spans="1:7" ht="30" customHeight="1">
      <c r="A64" s="4" t="s">
        <v>1809</v>
      </c>
      <c r="B64" s="4" t="s">
        <v>1810</v>
      </c>
      <c r="C64" s="4" t="s">
        <v>1811</v>
      </c>
      <c r="D64" s="9">
        <v>1210</v>
      </c>
      <c r="E64" s="4" t="s">
        <v>1376</v>
      </c>
      <c r="F64" s="4" t="s">
        <v>1664</v>
      </c>
      <c r="G64" s="4" t="s">
        <v>1812</v>
      </c>
    </row>
    <row r="65" spans="1:7" ht="48" customHeight="1">
      <c r="A65" s="3" t="s">
        <v>871</v>
      </c>
      <c r="B65" s="3" t="s">
        <v>1813</v>
      </c>
      <c r="C65" s="3" t="s">
        <v>1814</v>
      </c>
      <c r="D65" s="8">
        <v>5183</v>
      </c>
      <c r="E65" s="3" t="s">
        <v>1815</v>
      </c>
      <c r="F65" s="3" t="s">
        <v>1642</v>
      </c>
      <c r="G65" s="3" t="s">
        <v>1816</v>
      </c>
    </row>
    <row r="66" spans="1:7" ht="48" customHeight="1">
      <c r="A66" s="4" t="s">
        <v>85</v>
      </c>
      <c r="B66" s="4" t="s">
        <v>1817</v>
      </c>
      <c r="C66" s="4" t="s">
        <v>1814</v>
      </c>
      <c r="D66" s="9">
        <v>2439</v>
      </c>
      <c r="E66" s="4" t="s">
        <v>1778</v>
      </c>
      <c r="F66" s="4" t="s">
        <v>1664</v>
      </c>
      <c r="G66" s="4" t="s">
        <v>85</v>
      </c>
    </row>
    <row r="67" spans="1:7" ht="30" customHeight="1">
      <c r="A67" s="3" t="s">
        <v>85</v>
      </c>
      <c r="B67" s="3" t="s">
        <v>1818</v>
      </c>
      <c r="C67" s="3" t="s">
        <v>1819</v>
      </c>
      <c r="D67" s="8">
        <v>1449</v>
      </c>
      <c r="E67" s="3" t="s">
        <v>1351</v>
      </c>
      <c r="F67" s="3" t="s">
        <v>1664</v>
      </c>
      <c r="G67" s="3" t="s">
        <v>85</v>
      </c>
    </row>
    <row r="68" spans="1:7" ht="30" customHeight="1">
      <c r="A68" s="4" t="s">
        <v>1820</v>
      </c>
      <c r="B68" s="4" t="s">
        <v>1821</v>
      </c>
      <c r="C68" s="4" t="s">
        <v>1822</v>
      </c>
      <c r="D68" s="9">
        <v>2963</v>
      </c>
      <c r="E68" s="4" t="s">
        <v>1823</v>
      </c>
      <c r="F68" s="4" t="s">
        <v>1664</v>
      </c>
      <c r="G68" s="4" t="s">
        <v>1752</v>
      </c>
    </row>
    <row r="69" spans="1:7" ht="30" customHeight="1">
      <c r="A69" s="3" t="s">
        <v>1824</v>
      </c>
      <c r="B69" s="3" t="s">
        <v>1825</v>
      </c>
      <c r="C69" s="3" t="s">
        <v>1826</v>
      </c>
      <c r="D69" s="8">
        <v>1047</v>
      </c>
      <c r="E69" s="3" t="s">
        <v>1394</v>
      </c>
      <c r="F69" s="3" t="s">
        <v>1664</v>
      </c>
      <c r="G69" s="3" t="s">
        <v>1707</v>
      </c>
    </row>
    <row r="70" spans="1:7" ht="30" customHeight="1">
      <c r="A70" s="4" t="s">
        <v>1827</v>
      </c>
      <c r="B70" s="4" t="s">
        <v>64</v>
      </c>
      <c r="C70" s="4" t="s">
        <v>64</v>
      </c>
      <c r="D70" s="4" t="s">
        <v>64</v>
      </c>
      <c r="E70" s="4" t="s">
        <v>64</v>
      </c>
      <c r="F70" s="4" t="s">
        <v>64</v>
      </c>
      <c r="G70" s="4" t="s">
        <v>1707</v>
      </c>
    </row>
  </sheetData>
  <mergeCells count="2">
    <mergeCell ref="A1:G1"/>
    <mergeCell ref="A2:G2"/>
  </mergeCells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baseColWidth="10" defaultColWidth="8.83203125" defaultRowHeight="17"/>
  <cols>
    <col min="1" max="1" width="26" customWidth="1"/>
    <col min="2" max="2" width="24" customWidth="1"/>
    <col min="3" max="4" width="12" customWidth="1"/>
    <col min="5" max="5" width="40" customWidth="1"/>
    <col min="6" max="6" width="12" customWidth="1"/>
    <col min="7" max="7" width="22" customWidth="1"/>
    <col min="8" max="10" width="12" customWidth="1"/>
    <col min="11" max="11" width="24" customWidth="1"/>
    <col min="12" max="12" width="40" customWidth="1"/>
  </cols>
  <sheetData>
    <row r="1" spans="1:12" ht="42" customHeight="1">
      <c r="A1" s="21" t="s">
        <v>1828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33" customHeight="1">
      <c r="A2" s="19" t="s">
        <v>1829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6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48" customHeight="1">
      <c r="A4" s="7" t="s">
        <v>73</v>
      </c>
      <c r="B4" s="7" t="s">
        <v>1121</v>
      </c>
      <c r="C4" s="7" t="s">
        <v>1830</v>
      </c>
      <c r="D4" s="7" t="s">
        <v>1831</v>
      </c>
      <c r="E4" s="7" t="s">
        <v>1636</v>
      </c>
      <c r="F4" s="7" t="s">
        <v>1124</v>
      </c>
      <c r="G4" s="7" t="s">
        <v>1637</v>
      </c>
      <c r="H4" s="7" t="s">
        <v>1832</v>
      </c>
      <c r="I4" s="7" t="s">
        <v>1833</v>
      </c>
      <c r="J4" s="7" t="s">
        <v>1834</v>
      </c>
      <c r="K4" s="7" t="s">
        <v>1835</v>
      </c>
      <c r="L4" s="7" t="s">
        <v>1537</v>
      </c>
    </row>
    <row r="5" spans="1:12" ht="102" customHeight="1">
      <c r="A5" s="3" t="s">
        <v>536</v>
      </c>
      <c r="B5" s="3" t="s">
        <v>1836</v>
      </c>
      <c r="C5" s="3" t="s">
        <v>1643</v>
      </c>
      <c r="D5" s="3" t="s">
        <v>538</v>
      </c>
      <c r="E5" s="3" t="s">
        <v>1640</v>
      </c>
      <c r="F5" s="8">
        <v>23215</v>
      </c>
      <c r="G5" s="3" t="s">
        <v>1641</v>
      </c>
      <c r="H5" s="3" t="s">
        <v>1642</v>
      </c>
      <c r="I5" s="8">
        <v>1</v>
      </c>
      <c r="J5" s="8">
        <v>0</v>
      </c>
      <c r="K5" s="3" t="s">
        <v>85</v>
      </c>
      <c r="L5" s="3" t="s">
        <v>1837</v>
      </c>
    </row>
    <row r="6" spans="1:12" ht="102" customHeight="1">
      <c r="A6" s="4" t="s">
        <v>597</v>
      </c>
      <c r="B6" s="4" t="s">
        <v>1838</v>
      </c>
      <c r="C6" s="4" t="s">
        <v>1643</v>
      </c>
      <c r="D6" s="4" t="s">
        <v>598</v>
      </c>
      <c r="E6" s="4" t="s">
        <v>1839</v>
      </c>
      <c r="F6" s="9">
        <v>23056</v>
      </c>
      <c r="G6" s="4" t="s">
        <v>1641</v>
      </c>
      <c r="H6" s="4" t="s">
        <v>1642</v>
      </c>
      <c r="I6" s="9">
        <v>3</v>
      </c>
      <c r="J6" s="9">
        <v>43</v>
      </c>
      <c r="K6" s="4" t="s">
        <v>1840</v>
      </c>
      <c r="L6" s="4" t="s">
        <v>1837</v>
      </c>
    </row>
    <row r="7" spans="1:12" ht="102" customHeight="1">
      <c r="A7" s="3" t="s">
        <v>572</v>
      </c>
      <c r="B7" s="3" t="s">
        <v>1841</v>
      </c>
      <c r="C7" s="3" t="s">
        <v>1643</v>
      </c>
      <c r="D7" s="3" t="s">
        <v>573</v>
      </c>
      <c r="E7" s="3" t="s">
        <v>1651</v>
      </c>
      <c r="F7" s="8">
        <v>22262</v>
      </c>
      <c r="G7" s="3" t="s">
        <v>1641</v>
      </c>
      <c r="H7" s="3" t="s">
        <v>1642</v>
      </c>
      <c r="I7" s="8">
        <v>2</v>
      </c>
      <c r="J7" s="8">
        <v>39</v>
      </c>
      <c r="K7" s="3" t="s">
        <v>1842</v>
      </c>
      <c r="L7" s="3" t="s">
        <v>1837</v>
      </c>
    </row>
    <row r="8" spans="1:12" ht="102" customHeight="1">
      <c r="A8" s="4" t="s">
        <v>560</v>
      </c>
      <c r="B8" s="4" t="s">
        <v>1843</v>
      </c>
      <c r="C8" s="4" t="s">
        <v>1643</v>
      </c>
      <c r="D8" s="4" t="s">
        <v>1644</v>
      </c>
      <c r="E8" s="4" t="s">
        <v>1645</v>
      </c>
      <c r="F8" s="9">
        <v>21959</v>
      </c>
      <c r="G8" s="4" t="s">
        <v>1641</v>
      </c>
      <c r="H8" s="4" t="s">
        <v>1642</v>
      </c>
      <c r="I8" s="9">
        <v>8</v>
      </c>
      <c r="J8" s="9">
        <v>19</v>
      </c>
      <c r="K8" s="4" t="s">
        <v>1844</v>
      </c>
      <c r="L8" s="4" t="s">
        <v>1837</v>
      </c>
    </row>
    <row r="9" spans="1:12" ht="48" customHeight="1">
      <c r="A9" s="3" t="s">
        <v>721</v>
      </c>
      <c r="B9" s="3" t="s">
        <v>1845</v>
      </c>
      <c r="C9" s="3" t="s">
        <v>1643</v>
      </c>
      <c r="D9" s="3" t="s">
        <v>722</v>
      </c>
      <c r="E9" s="3" t="s">
        <v>1846</v>
      </c>
      <c r="F9" s="8">
        <v>6707</v>
      </c>
      <c r="G9" s="3" t="s">
        <v>1847</v>
      </c>
      <c r="H9" s="3" t="s">
        <v>1642</v>
      </c>
      <c r="I9" s="8">
        <v>1</v>
      </c>
      <c r="J9" s="8">
        <v>0</v>
      </c>
      <c r="K9" s="3" t="s">
        <v>85</v>
      </c>
      <c r="L9" s="3" t="s">
        <v>1837</v>
      </c>
    </row>
    <row r="10" spans="1:12" ht="30" customHeight="1">
      <c r="A10" s="4" t="s">
        <v>771</v>
      </c>
      <c r="B10" s="4" t="s">
        <v>600</v>
      </c>
      <c r="C10" s="4" t="s">
        <v>1643</v>
      </c>
      <c r="D10" s="4" t="s">
        <v>1848</v>
      </c>
      <c r="E10" s="4" t="s">
        <v>1849</v>
      </c>
      <c r="F10" s="9">
        <v>6132</v>
      </c>
      <c r="G10" s="4" t="s">
        <v>1850</v>
      </c>
      <c r="H10" s="4" t="s">
        <v>1664</v>
      </c>
      <c r="I10" s="9">
        <v>2</v>
      </c>
      <c r="J10" s="9">
        <v>2</v>
      </c>
      <c r="K10" s="4" t="s">
        <v>1851</v>
      </c>
      <c r="L10" s="4" t="s">
        <v>1837</v>
      </c>
    </row>
    <row r="11" spans="1:12" ht="30" customHeight="1">
      <c r="A11" s="3" t="s">
        <v>635</v>
      </c>
      <c r="B11" s="3" t="s">
        <v>1852</v>
      </c>
      <c r="C11" s="3" t="s">
        <v>1643</v>
      </c>
      <c r="D11" s="3" t="s">
        <v>636</v>
      </c>
      <c r="E11" s="3" t="s">
        <v>1853</v>
      </c>
      <c r="F11" s="8">
        <v>4134</v>
      </c>
      <c r="G11" s="3" t="s">
        <v>1713</v>
      </c>
      <c r="H11" s="3" t="s">
        <v>1642</v>
      </c>
      <c r="I11" s="8">
        <v>1</v>
      </c>
      <c r="J11" s="8">
        <v>7</v>
      </c>
      <c r="K11" s="3" t="s">
        <v>85</v>
      </c>
      <c r="L11" s="3" t="s">
        <v>1837</v>
      </c>
    </row>
    <row r="12" spans="1:12" ht="48" customHeight="1">
      <c r="A12" s="4" t="s">
        <v>633</v>
      </c>
      <c r="B12" s="4" t="s">
        <v>1854</v>
      </c>
      <c r="C12" s="4" t="s">
        <v>1643</v>
      </c>
      <c r="D12" s="4" t="s">
        <v>1855</v>
      </c>
      <c r="E12" s="4" t="s">
        <v>1856</v>
      </c>
      <c r="F12" s="9">
        <v>3976</v>
      </c>
      <c r="G12" s="4" t="s">
        <v>1857</v>
      </c>
      <c r="H12" s="4" t="s">
        <v>1642</v>
      </c>
      <c r="I12" s="9">
        <v>2</v>
      </c>
      <c r="J12" s="9">
        <v>1</v>
      </c>
      <c r="K12" s="4" t="s">
        <v>1858</v>
      </c>
      <c r="L12" s="4" t="s">
        <v>1837</v>
      </c>
    </row>
    <row r="13" spans="1:12" ht="30" customHeight="1">
      <c r="A13" s="3" t="s">
        <v>585</v>
      </c>
      <c r="B13" s="3" t="s">
        <v>1859</v>
      </c>
      <c r="C13" s="3" t="s">
        <v>1643</v>
      </c>
      <c r="D13" s="3" t="s">
        <v>586</v>
      </c>
      <c r="E13" s="3" t="s">
        <v>1860</v>
      </c>
      <c r="F13" s="8">
        <v>3860</v>
      </c>
      <c r="G13" s="3" t="s">
        <v>1861</v>
      </c>
      <c r="H13" s="3" t="s">
        <v>1642</v>
      </c>
      <c r="I13" s="8">
        <v>3</v>
      </c>
      <c r="J13" s="8">
        <v>5</v>
      </c>
      <c r="K13" s="3" t="s">
        <v>1862</v>
      </c>
      <c r="L13" s="3" t="s">
        <v>1837</v>
      </c>
    </row>
    <row r="14" spans="1:12" ht="30" customHeight="1">
      <c r="A14" s="4" t="s">
        <v>707</v>
      </c>
      <c r="B14" s="4" t="s">
        <v>1863</v>
      </c>
      <c r="C14" s="4" t="s">
        <v>1643</v>
      </c>
      <c r="D14" s="4" t="s">
        <v>708</v>
      </c>
      <c r="E14" s="4" t="s">
        <v>1864</v>
      </c>
      <c r="F14" s="9">
        <v>2777</v>
      </c>
      <c r="G14" s="4" t="s">
        <v>1865</v>
      </c>
      <c r="H14" s="4" t="s">
        <v>1642</v>
      </c>
      <c r="I14" s="9">
        <v>2</v>
      </c>
      <c r="J14" s="9">
        <v>2</v>
      </c>
      <c r="K14" s="4" t="s">
        <v>1866</v>
      </c>
      <c r="L14" s="4" t="s">
        <v>1837</v>
      </c>
    </row>
    <row r="15" spans="1:12" ht="48" customHeight="1">
      <c r="A15" s="3" t="s">
        <v>642</v>
      </c>
      <c r="B15" s="3" t="s">
        <v>1867</v>
      </c>
      <c r="C15" s="3" t="s">
        <v>1643</v>
      </c>
      <c r="D15" s="3" t="s">
        <v>643</v>
      </c>
      <c r="E15" s="3" t="s">
        <v>1868</v>
      </c>
      <c r="F15" s="8">
        <v>2767</v>
      </c>
      <c r="G15" s="3" t="s">
        <v>1865</v>
      </c>
      <c r="H15" s="3" t="s">
        <v>1642</v>
      </c>
      <c r="I15" s="8">
        <v>2</v>
      </c>
      <c r="J15" s="8">
        <v>19</v>
      </c>
      <c r="K15" s="3" t="s">
        <v>1869</v>
      </c>
      <c r="L15" s="3" t="s">
        <v>1837</v>
      </c>
    </row>
    <row r="16" spans="1:12" ht="30" customHeight="1">
      <c r="A16" s="4" t="s">
        <v>715</v>
      </c>
      <c r="B16" s="4" t="s">
        <v>1870</v>
      </c>
      <c r="C16" s="4" t="s">
        <v>1643</v>
      </c>
      <c r="D16" s="4" t="s">
        <v>716</v>
      </c>
      <c r="E16" s="4" t="s">
        <v>1871</v>
      </c>
      <c r="F16" s="9">
        <v>2753</v>
      </c>
      <c r="G16" s="4" t="s">
        <v>1865</v>
      </c>
      <c r="H16" s="4" t="s">
        <v>1642</v>
      </c>
      <c r="I16" s="9">
        <v>2</v>
      </c>
      <c r="J16" s="9">
        <v>2</v>
      </c>
      <c r="K16" s="4" t="s">
        <v>1872</v>
      </c>
      <c r="L16" s="4" t="s">
        <v>1837</v>
      </c>
    </row>
    <row r="17" spans="1:12" ht="48" customHeight="1">
      <c r="A17" s="3" t="s">
        <v>786</v>
      </c>
      <c r="B17" s="3" t="s">
        <v>1873</v>
      </c>
      <c r="C17" s="3" t="s">
        <v>1643</v>
      </c>
      <c r="D17" s="3" t="s">
        <v>1874</v>
      </c>
      <c r="E17" s="3" t="s">
        <v>1875</v>
      </c>
      <c r="F17" s="8">
        <v>2654</v>
      </c>
      <c r="G17" s="3" t="s">
        <v>1681</v>
      </c>
      <c r="H17" s="3" t="s">
        <v>1664</v>
      </c>
      <c r="I17" s="8">
        <v>4</v>
      </c>
      <c r="J17" s="8">
        <v>1</v>
      </c>
      <c r="K17" s="3" t="s">
        <v>1876</v>
      </c>
      <c r="L17" s="3" t="s">
        <v>1837</v>
      </c>
    </row>
    <row r="18" spans="1:12" ht="30" customHeight="1">
      <c r="A18" s="4" t="s">
        <v>796</v>
      </c>
      <c r="B18" s="4" t="s">
        <v>1877</v>
      </c>
      <c r="C18" s="4" t="s">
        <v>1643</v>
      </c>
      <c r="D18" s="4" t="s">
        <v>1878</v>
      </c>
      <c r="E18" s="4" t="s">
        <v>1879</v>
      </c>
      <c r="F18" s="9">
        <v>2649</v>
      </c>
      <c r="G18" s="4" t="s">
        <v>1681</v>
      </c>
      <c r="H18" s="4" t="s">
        <v>1664</v>
      </c>
      <c r="I18" s="9">
        <v>1</v>
      </c>
      <c r="J18" s="9">
        <v>1</v>
      </c>
      <c r="K18" s="4" t="s">
        <v>85</v>
      </c>
      <c r="L18" s="4" t="s">
        <v>1837</v>
      </c>
    </row>
    <row r="19" spans="1:12" ht="48" customHeight="1">
      <c r="A19" s="3" t="s">
        <v>625</v>
      </c>
      <c r="B19" s="3" t="s">
        <v>1880</v>
      </c>
      <c r="C19" s="3" t="s">
        <v>1643</v>
      </c>
      <c r="D19" s="3" t="s">
        <v>626</v>
      </c>
      <c r="E19" s="3" t="s">
        <v>1881</v>
      </c>
      <c r="F19" s="8">
        <v>2536</v>
      </c>
      <c r="G19" s="3" t="s">
        <v>1684</v>
      </c>
      <c r="H19" s="3" t="s">
        <v>1642</v>
      </c>
      <c r="I19" s="8">
        <v>2</v>
      </c>
      <c r="J19" s="8">
        <v>17</v>
      </c>
      <c r="K19" s="3" t="s">
        <v>1882</v>
      </c>
      <c r="L19" s="3" t="s">
        <v>1837</v>
      </c>
    </row>
    <row r="20" spans="1:12" ht="48" customHeight="1">
      <c r="A20" s="4" t="s">
        <v>668</v>
      </c>
      <c r="B20" s="4" t="s">
        <v>1883</v>
      </c>
      <c r="C20" s="4" t="s">
        <v>1643</v>
      </c>
      <c r="D20" s="4" t="s">
        <v>1884</v>
      </c>
      <c r="E20" s="4" t="s">
        <v>1885</v>
      </c>
      <c r="F20" s="9">
        <v>2535</v>
      </c>
      <c r="G20" s="4" t="s">
        <v>1684</v>
      </c>
      <c r="H20" s="4" t="s">
        <v>1642</v>
      </c>
      <c r="I20" s="9">
        <v>6</v>
      </c>
      <c r="J20" s="9">
        <v>0</v>
      </c>
      <c r="K20" s="4" t="s">
        <v>1886</v>
      </c>
      <c r="L20" s="4" t="s">
        <v>1837</v>
      </c>
    </row>
    <row r="21" spans="1:12" ht="48" customHeight="1">
      <c r="A21" s="3" t="s">
        <v>607</v>
      </c>
      <c r="B21" s="3" t="s">
        <v>1887</v>
      </c>
      <c r="C21" s="3" t="s">
        <v>1643</v>
      </c>
      <c r="D21" s="3" t="s">
        <v>608</v>
      </c>
      <c r="E21" s="3" t="s">
        <v>1888</v>
      </c>
      <c r="F21" s="8">
        <v>2535</v>
      </c>
      <c r="G21" s="3" t="s">
        <v>1684</v>
      </c>
      <c r="H21" s="3" t="s">
        <v>1642</v>
      </c>
      <c r="I21" s="8">
        <v>2</v>
      </c>
      <c r="J21" s="8">
        <v>1</v>
      </c>
      <c r="K21" s="3" t="s">
        <v>1810</v>
      </c>
      <c r="L21" s="3" t="s">
        <v>1837</v>
      </c>
    </row>
    <row r="22" spans="1:12" ht="30" customHeight="1">
      <c r="A22" s="4" t="s">
        <v>738</v>
      </c>
      <c r="B22" s="4" t="s">
        <v>1889</v>
      </c>
      <c r="C22" s="4" t="s">
        <v>1643</v>
      </c>
      <c r="D22" s="4" t="s">
        <v>739</v>
      </c>
      <c r="E22" s="4" t="s">
        <v>1890</v>
      </c>
      <c r="F22" s="9">
        <v>2533</v>
      </c>
      <c r="G22" s="4" t="s">
        <v>1684</v>
      </c>
      <c r="H22" s="4" t="s">
        <v>1642</v>
      </c>
      <c r="I22" s="9">
        <v>1</v>
      </c>
      <c r="J22" s="9">
        <v>0</v>
      </c>
      <c r="K22" s="4" t="s">
        <v>85</v>
      </c>
      <c r="L22" s="4" t="s">
        <v>1837</v>
      </c>
    </row>
    <row r="23" spans="1:12" ht="48" customHeight="1">
      <c r="A23" s="3" t="s">
        <v>619</v>
      </c>
      <c r="B23" s="3" t="s">
        <v>1891</v>
      </c>
      <c r="C23" s="3" t="s">
        <v>1643</v>
      </c>
      <c r="D23" s="3" t="s">
        <v>620</v>
      </c>
      <c r="E23" s="3" t="s">
        <v>1892</v>
      </c>
      <c r="F23" s="8">
        <v>2531</v>
      </c>
      <c r="G23" s="3" t="s">
        <v>1684</v>
      </c>
      <c r="H23" s="3" t="s">
        <v>1642</v>
      </c>
      <c r="I23" s="8">
        <v>1</v>
      </c>
      <c r="J23" s="8">
        <v>0</v>
      </c>
      <c r="K23" s="3" t="s">
        <v>85</v>
      </c>
      <c r="L23" s="3" t="s">
        <v>1837</v>
      </c>
    </row>
    <row r="24" spans="1:12" ht="48" customHeight="1">
      <c r="A24" s="4" t="s">
        <v>649</v>
      </c>
      <c r="B24" s="4" t="s">
        <v>1893</v>
      </c>
      <c r="C24" s="4" t="s">
        <v>1643</v>
      </c>
      <c r="D24" s="4" t="s">
        <v>650</v>
      </c>
      <c r="E24" s="4" t="s">
        <v>1894</v>
      </c>
      <c r="F24" s="9">
        <v>2438</v>
      </c>
      <c r="G24" s="4" t="s">
        <v>1684</v>
      </c>
      <c r="H24" s="4" t="s">
        <v>1642</v>
      </c>
      <c r="I24" s="9">
        <v>1</v>
      </c>
      <c r="J24" s="9">
        <v>3</v>
      </c>
      <c r="K24" s="4" t="s">
        <v>85</v>
      </c>
      <c r="L24" s="4" t="s">
        <v>1837</v>
      </c>
    </row>
    <row r="25" spans="1:12" ht="30" customHeight="1">
      <c r="A25" s="3" t="s">
        <v>657</v>
      </c>
      <c r="B25" s="3" t="s">
        <v>1895</v>
      </c>
      <c r="C25" s="3" t="s">
        <v>1643</v>
      </c>
      <c r="D25" s="3" t="s">
        <v>658</v>
      </c>
      <c r="E25" s="3" t="s">
        <v>1896</v>
      </c>
      <c r="F25" s="8">
        <v>2391</v>
      </c>
      <c r="G25" s="3" t="s">
        <v>1684</v>
      </c>
      <c r="H25" s="3" t="s">
        <v>1642</v>
      </c>
      <c r="I25" s="8">
        <v>1</v>
      </c>
      <c r="J25" s="8">
        <v>2</v>
      </c>
      <c r="K25" s="3" t="s">
        <v>85</v>
      </c>
      <c r="L25" s="3" t="s">
        <v>1837</v>
      </c>
    </row>
    <row r="26" spans="1:12" ht="48" customHeight="1">
      <c r="A26" s="4" t="s">
        <v>628</v>
      </c>
      <c r="B26" s="4" t="s">
        <v>1897</v>
      </c>
      <c r="C26" s="4" t="s">
        <v>1643</v>
      </c>
      <c r="D26" s="4" t="s">
        <v>1898</v>
      </c>
      <c r="E26" s="4" t="s">
        <v>1899</v>
      </c>
      <c r="F26" s="9">
        <v>2075</v>
      </c>
      <c r="G26" s="4" t="s">
        <v>1900</v>
      </c>
      <c r="H26" s="4" t="s">
        <v>1642</v>
      </c>
      <c r="I26" s="9">
        <v>13</v>
      </c>
      <c r="J26" s="9">
        <v>2</v>
      </c>
      <c r="K26" s="4" t="s">
        <v>1901</v>
      </c>
      <c r="L26" s="4" t="s">
        <v>1837</v>
      </c>
    </row>
    <row r="27" spans="1:12" ht="48" customHeight="1">
      <c r="A27" s="3" t="s">
        <v>335</v>
      </c>
      <c r="B27" s="3" t="s">
        <v>1902</v>
      </c>
      <c r="C27" s="3" t="s">
        <v>1643</v>
      </c>
      <c r="D27" s="3" t="s">
        <v>1903</v>
      </c>
      <c r="E27" s="3" t="s">
        <v>1904</v>
      </c>
      <c r="F27" s="8">
        <v>1907</v>
      </c>
      <c r="G27" s="3" t="s">
        <v>1681</v>
      </c>
      <c r="H27" s="3" t="s">
        <v>1664</v>
      </c>
      <c r="I27" s="8">
        <v>1</v>
      </c>
      <c r="J27" s="8">
        <v>1</v>
      </c>
      <c r="K27" s="3" t="s">
        <v>85</v>
      </c>
      <c r="L27" s="3" t="s">
        <v>1905</v>
      </c>
    </row>
    <row r="28" spans="1:12" ht="48" customHeight="1">
      <c r="A28" s="4" t="s">
        <v>804</v>
      </c>
      <c r="B28" s="4" t="s">
        <v>1906</v>
      </c>
      <c r="C28" s="4" t="s">
        <v>1643</v>
      </c>
      <c r="D28" s="4" t="s">
        <v>1907</v>
      </c>
      <c r="E28" s="4" t="s">
        <v>1908</v>
      </c>
      <c r="F28" s="9">
        <v>1534</v>
      </c>
      <c r="G28" s="4" t="s">
        <v>1351</v>
      </c>
      <c r="H28" s="4" t="s">
        <v>1664</v>
      </c>
      <c r="I28" s="9">
        <v>1</v>
      </c>
      <c r="J28" s="9">
        <v>2</v>
      </c>
      <c r="K28" s="4" t="s">
        <v>85</v>
      </c>
      <c r="L28" s="4" t="s">
        <v>1837</v>
      </c>
    </row>
    <row r="29" spans="1:12" ht="48" customHeight="1">
      <c r="A29" s="3" t="s">
        <v>351</v>
      </c>
      <c r="B29" s="3" t="s">
        <v>1909</v>
      </c>
      <c r="C29" s="3" t="s">
        <v>1643</v>
      </c>
      <c r="D29" s="3" t="s">
        <v>1910</v>
      </c>
      <c r="E29" s="3" t="s">
        <v>1911</v>
      </c>
      <c r="F29" s="8">
        <v>1507</v>
      </c>
      <c r="G29" s="3" t="s">
        <v>1354</v>
      </c>
      <c r="H29" s="3" t="s">
        <v>1664</v>
      </c>
      <c r="I29" s="8">
        <v>1</v>
      </c>
      <c r="J29" s="8">
        <v>1</v>
      </c>
      <c r="K29" s="3" t="s">
        <v>85</v>
      </c>
      <c r="L29" s="3" t="s">
        <v>1905</v>
      </c>
    </row>
    <row r="30" spans="1:12" ht="30" customHeight="1">
      <c r="A30" s="4" t="s">
        <v>822</v>
      </c>
      <c r="B30" s="4" t="s">
        <v>1912</v>
      </c>
      <c r="C30" s="4" t="s">
        <v>1643</v>
      </c>
      <c r="D30" s="4" t="s">
        <v>1913</v>
      </c>
      <c r="E30" s="4" t="s">
        <v>1914</v>
      </c>
      <c r="F30" s="9">
        <v>1477</v>
      </c>
      <c r="G30" s="4" t="s">
        <v>1354</v>
      </c>
      <c r="H30" s="4" t="s">
        <v>1664</v>
      </c>
      <c r="I30" s="9">
        <v>1</v>
      </c>
      <c r="J30" s="9">
        <v>1</v>
      </c>
      <c r="K30" s="4" t="s">
        <v>85</v>
      </c>
      <c r="L30" s="4" t="s">
        <v>1837</v>
      </c>
    </row>
    <row r="31" spans="1:12" ht="30" customHeight="1">
      <c r="A31" s="3" t="s">
        <v>824</v>
      </c>
      <c r="B31" s="3" t="s">
        <v>1915</v>
      </c>
      <c r="C31" s="3" t="s">
        <v>1643</v>
      </c>
      <c r="D31" s="3" t="s">
        <v>1916</v>
      </c>
      <c r="E31" s="3" t="s">
        <v>1917</v>
      </c>
      <c r="F31" s="8">
        <v>1431</v>
      </c>
      <c r="G31" s="3" t="s">
        <v>1356</v>
      </c>
      <c r="H31" s="3" t="s">
        <v>1664</v>
      </c>
      <c r="I31" s="8">
        <v>1</v>
      </c>
      <c r="J31" s="8">
        <v>0</v>
      </c>
      <c r="K31" s="3" t="s">
        <v>85</v>
      </c>
      <c r="L31" s="3" t="s">
        <v>1837</v>
      </c>
    </row>
    <row r="32" spans="1:12" ht="30" customHeight="1">
      <c r="A32" s="4" t="s">
        <v>832</v>
      </c>
      <c r="B32" s="4" t="s">
        <v>1918</v>
      </c>
      <c r="C32" s="4" t="s">
        <v>1643</v>
      </c>
      <c r="D32" s="4" t="s">
        <v>1919</v>
      </c>
      <c r="E32" s="4" t="s">
        <v>1920</v>
      </c>
      <c r="F32" s="9">
        <v>1430</v>
      </c>
      <c r="G32" s="4" t="s">
        <v>1356</v>
      </c>
      <c r="H32" s="4" t="s">
        <v>1664</v>
      </c>
      <c r="I32" s="9">
        <v>1</v>
      </c>
      <c r="J32" s="9">
        <v>1</v>
      </c>
      <c r="K32" s="4" t="s">
        <v>85</v>
      </c>
      <c r="L32" s="4" t="s">
        <v>1837</v>
      </c>
    </row>
    <row r="33" spans="1:12" ht="30" customHeight="1">
      <c r="A33" s="3" t="s">
        <v>846</v>
      </c>
      <c r="B33" s="3" t="s">
        <v>1921</v>
      </c>
      <c r="C33" s="3" t="s">
        <v>1643</v>
      </c>
      <c r="D33" s="3" t="s">
        <v>1922</v>
      </c>
      <c r="E33" s="3" t="s">
        <v>1923</v>
      </c>
      <c r="F33" s="8">
        <v>1429</v>
      </c>
      <c r="G33" s="3" t="s">
        <v>1356</v>
      </c>
      <c r="H33" s="3" t="s">
        <v>1664</v>
      </c>
      <c r="I33" s="8">
        <v>2</v>
      </c>
      <c r="J33" s="8">
        <v>1</v>
      </c>
      <c r="K33" s="3" t="s">
        <v>1924</v>
      </c>
      <c r="L33" s="3" t="s">
        <v>1837</v>
      </c>
    </row>
    <row r="34" spans="1:12" ht="48" customHeight="1">
      <c r="A34" s="4" t="s">
        <v>1925</v>
      </c>
      <c r="B34" s="4" t="s">
        <v>1926</v>
      </c>
      <c r="C34" s="4" t="s">
        <v>1643</v>
      </c>
      <c r="D34" s="4" t="s">
        <v>1927</v>
      </c>
      <c r="E34" s="4" t="s">
        <v>1928</v>
      </c>
      <c r="F34" s="9">
        <v>1429</v>
      </c>
      <c r="G34" s="4" t="s">
        <v>1356</v>
      </c>
      <c r="H34" s="4" t="s">
        <v>1664</v>
      </c>
      <c r="I34" s="9">
        <v>6</v>
      </c>
      <c r="J34" s="9">
        <v>1</v>
      </c>
      <c r="K34" s="4" t="s">
        <v>1929</v>
      </c>
      <c r="L34" s="4" t="s">
        <v>1930</v>
      </c>
    </row>
    <row r="35" spans="1:12" ht="30" customHeight="1">
      <c r="A35" s="3" t="s">
        <v>830</v>
      </c>
      <c r="B35" s="3" t="s">
        <v>1931</v>
      </c>
      <c r="C35" s="3" t="s">
        <v>1643</v>
      </c>
      <c r="D35" s="3" t="s">
        <v>1932</v>
      </c>
      <c r="E35" s="3" t="s">
        <v>1933</v>
      </c>
      <c r="F35" s="8">
        <v>1427</v>
      </c>
      <c r="G35" s="3" t="s">
        <v>1356</v>
      </c>
      <c r="H35" s="3" t="s">
        <v>1664</v>
      </c>
      <c r="I35" s="8">
        <v>1</v>
      </c>
      <c r="J35" s="8">
        <v>0</v>
      </c>
      <c r="K35" s="3" t="s">
        <v>85</v>
      </c>
      <c r="L35" s="3" t="s">
        <v>1837</v>
      </c>
    </row>
    <row r="36" spans="1:12" ht="30" customHeight="1">
      <c r="A36" s="4" t="s">
        <v>820</v>
      </c>
      <c r="B36" s="4" t="s">
        <v>1934</v>
      </c>
      <c r="C36" s="4" t="s">
        <v>1643</v>
      </c>
      <c r="D36" s="4" t="s">
        <v>1935</v>
      </c>
      <c r="E36" s="4" t="s">
        <v>1936</v>
      </c>
      <c r="F36" s="9">
        <v>1360</v>
      </c>
      <c r="G36" s="4" t="s">
        <v>1354</v>
      </c>
      <c r="H36" s="4" t="s">
        <v>1664</v>
      </c>
      <c r="I36" s="9">
        <v>1</v>
      </c>
      <c r="J36" s="9">
        <v>1</v>
      </c>
      <c r="K36" s="4" t="s">
        <v>85</v>
      </c>
      <c r="L36" s="4" t="s">
        <v>1837</v>
      </c>
    </row>
    <row r="37" spans="1:12" ht="30" customHeight="1">
      <c r="A37" s="3" t="s">
        <v>811</v>
      </c>
      <c r="B37" s="3" t="s">
        <v>1937</v>
      </c>
      <c r="C37" s="3" t="s">
        <v>1643</v>
      </c>
      <c r="D37" s="3" t="s">
        <v>1938</v>
      </c>
      <c r="E37" s="3" t="s">
        <v>1939</v>
      </c>
      <c r="F37" s="8">
        <v>1358</v>
      </c>
      <c r="G37" s="3" t="s">
        <v>1354</v>
      </c>
      <c r="H37" s="3" t="s">
        <v>1664</v>
      </c>
      <c r="I37" s="8">
        <v>1</v>
      </c>
      <c r="J37" s="8">
        <v>3</v>
      </c>
      <c r="K37" s="3" t="s">
        <v>85</v>
      </c>
      <c r="L37" s="3" t="s">
        <v>1837</v>
      </c>
    </row>
    <row r="38" spans="1:12" ht="30" customHeight="1">
      <c r="A38" s="4" t="s">
        <v>852</v>
      </c>
      <c r="B38" s="4" t="s">
        <v>1940</v>
      </c>
      <c r="C38" s="4" t="s">
        <v>1643</v>
      </c>
      <c r="D38" s="4" t="s">
        <v>1941</v>
      </c>
      <c r="E38" s="4" t="s">
        <v>1942</v>
      </c>
      <c r="F38" s="9">
        <v>1315</v>
      </c>
      <c r="G38" s="4" t="s">
        <v>1362</v>
      </c>
      <c r="H38" s="4" t="s">
        <v>1664</v>
      </c>
      <c r="I38" s="9">
        <v>1</v>
      </c>
      <c r="J38" s="9">
        <v>7</v>
      </c>
      <c r="K38" s="4" t="s">
        <v>85</v>
      </c>
      <c r="L38" s="4" t="s">
        <v>1837</v>
      </c>
    </row>
    <row r="39" spans="1:12" ht="30" customHeight="1">
      <c r="A39" s="3" t="s">
        <v>859</v>
      </c>
      <c r="B39" s="3" t="s">
        <v>1943</v>
      </c>
      <c r="C39" s="3" t="s">
        <v>1643</v>
      </c>
      <c r="D39" s="3" t="s">
        <v>1944</v>
      </c>
      <c r="E39" s="3" t="s">
        <v>1945</v>
      </c>
      <c r="F39" s="8">
        <v>1311</v>
      </c>
      <c r="G39" s="3" t="s">
        <v>1362</v>
      </c>
      <c r="H39" s="3" t="s">
        <v>1664</v>
      </c>
      <c r="I39" s="8">
        <v>1</v>
      </c>
      <c r="J39" s="8">
        <v>0</v>
      </c>
      <c r="K39" s="3" t="s">
        <v>85</v>
      </c>
      <c r="L39" s="3" t="s">
        <v>1837</v>
      </c>
    </row>
    <row r="40" spans="1:12" ht="48" customHeight="1">
      <c r="A40" s="4" t="s">
        <v>1946</v>
      </c>
      <c r="B40" s="4" t="s">
        <v>1947</v>
      </c>
      <c r="C40" s="4" t="s">
        <v>1643</v>
      </c>
      <c r="D40" s="4" t="s">
        <v>1948</v>
      </c>
      <c r="E40" s="4" t="s">
        <v>1949</v>
      </c>
      <c r="F40" s="9">
        <v>1300</v>
      </c>
      <c r="G40" s="4" t="s">
        <v>1362</v>
      </c>
      <c r="H40" s="4" t="s">
        <v>1664</v>
      </c>
      <c r="I40" s="9">
        <v>1</v>
      </c>
      <c r="J40" s="9">
        <v>1</v>
      </c>
      <c r="K40" s="4" t="s">
        <v>85</v>
      </c>
      <c r="L40" s="4" t="s">
        <v>1837</v>
      </c>
    </row>
    <row r="41" spans="1:12" ht="48" customHeight="1">
      <c r="A41" s="3" t="s">
        <v>861</v>
      </c>
      <c r="B41" s="3" t="s">
        <v>1950</v>
      </c>
      <c r="C41" s="3" t="s">
        <v>1643</v>
      </c>
      <c r="D41" s="3" t="s">
        <v>1951</v>
      </c>
      <c r="E41" s="3" t="s">
        <v>1952</v>
      </c>
      <c r="F41" s="8">
        <v>1294</v>
      </c>
      <c r="G41" s="3" t="s">
        <v>1362</v>
      </c>
      <c r="H41" s="3" t="s">
        <v>1664</v>
      </c>
      <c r="I41" s="8">
        <v>1</v>
      </c>
      <c r="J41" s="8">
        <v>2</v>
      </c>
      <c r="K41" s="3" t="s">
        <v>85</v>
      </c>
      <c r="L41" s="3" t="s">
        <v>1837</v>
      </c>
    </row>
    <row r="42" spans="1:12" ht="48" customHeight="1">
      <c r="A42" s="4" t="s">
        <v>697</v>
      </c>
      <c r="B42" s="4" t="s">
        <v>1953</v>
      </c>
      <c r="C42" s="4" t="s">
        <v>1643</v>
      </c>
      <c r="D42" s="4" t="s">
        <v>698</v>
      </c>
      <c r="E42" s="4" t="s">
        <v>1954</v>
      </c>
      <c r="F42" s="9">
        <v>1230</v>
      </c>
      <c r="G42" s="4" t="s">
        <v>1370</v>
      </c>
      <c r="H42" s="4" t="s">
        <v>1642</v>
      </c>
      <c r="I42" s="9">
        <v>1</v>
      </c>
      <c r="J42" s="9">
        <v>2</v>
      </c>
      <c r="K42" s="4" t="s">
        <v>85</v>
      </c>
      <c r="L42" s="4" t="s">
        <v>1837</v>
      </c>
    </row>
    <row r="43" spans="1:12" ht="48" customHeight="1">
      <c r="A43" s="3" t="s">
        <v>677</v>
      </c>
      <c r="B43" s="3" t="s">
        <v>1955</v>
      </c>
      <c r="C43" s="3" t="s">
        <v>1643</v>
      </c>
      <c r="D43" s="3" t="s">
        <v>678</v>
      </c>
      <c r="E43" s="3" t="s">
        <v>1956</v>
      </c>
      <c r="F43" s="8">
        <v>1224</v>
      </c>
      <c r="G43" s="3" t="s">
        <v>1370</v>
      </c>
      <c r="H43" s="3" t="s">
        <v>1642</v>
      </c>
      <c r="I43" s="8">
        <v>1</v>
      </c>
      <c r="J43" s="8">
        <v>6</v>
      </c>
      <c r="K43" s="3" t="s">
        <v>85</v>
      </c>
      <c r="L43" s="3" t="s">
        <v>1837</v>
      </c>
    </row>
    <row r="44" spans="1:12" ht="48" customHeight="1">
      <c r="A44" s="4" t="s">
        <v>685</v>
      </c>
      <c r="B44" s="4" t="s">
        <v>1957</v>
      </c>
      <c r="C44" s="4" t="s">
        <v>1643</v>
      </c>
      <c r="D44" s="4" t="s">
        <v>1958</v>
      </c>
      <c r="E44" s="4" t="s">
        <v>1959</v>
      </c>
      <c r="F44" s="9">
        <v>1211</v>
      </c>
      <c r="G44" s="4" t="s">
        <v>1376</v>
      </c>
      <c r="H44" s="4" t="s">
        <v>1642</v>
      </c>
      <c r="I44" s="9">
        <v>1</v>
      </c>
      <c r="J44" s="9">
        <v>0</v>
      </c>
      <c r="K44" s="4" t="s">
        <v>85</v>
      </c>
      <c r="L44" s="4" t="s">
        <v>1837</v>
      </c>
    </row>
    <row r="45" spans="1:12" ht="48" customHeight="1">
      <c r="A45" s="3" t="s">
        <v>1960</v>
      </c>
      <c r="B45" s="3" t="s">
        <v>1961</v>
      </c>
      <c r="C45" s="3" t="s">
        <v>1643</v>
      </c>
      <c r="D45" s="3" t="s">
        <v>1962</v>
      </c>
      <c r="E45" s="3" t="s">
        <v>1963</v>
      </c>
      <c r="F45" s="8">
        <v>1205</v>
      </c>
      <c r="G45" s="3" t="s">
        <v>1380</v>
      </c>
      <c r="H45" s="3" t="s">
        <v>1642</v>
      </c>
      <c r="I45" s="8">
        <v>2</v>
      </c>
      <c r="J45" s="8">
        <v>2</v>
      </c>
      <c r="K45" s="3" t="s">
        <v>1964</v>
      </c>
      <c r="L45" s="3" t="s">
        <v>1837</v>
      </c>
    </row>
    <row r="46" spans="1:12" ht="30" customHeight="1">
      <c r="A46" s="4" t="s">
        <v>731</v>
      </c>
      <c r="B46" s="4" t="s">
        <v>1965</v>
      </c>
      <c r="C46" s="4" t="s">
        <v>1643</v>
      </c>
      <c r="D46" s="4" t="s">
        <v>732</v>
      </c>
      <c r="E46" s="4" t="s">
        <v>1966</v>
      </c>
      <c r="F46" s="9">
        <v>1204</v>
      </c>
      <c r="G46" s="4" t="s">
        <v>1380</v>
      </c>
      <c r="H46" s="4" t="s">
        <v>1642</v>
      </c>
      <c r="I46" s="9">
        <v>1</v>
      </c>
      <c r="J46" s="9">
        <v>0</v>
      </c>
      <c r="K46" s="4" t="s">
        <v>85</v>
      </c>
      <c r="L46" s="4" t="s">
        <v>1837</v>
      </c>
    </row>
    <row r="47" spans="1:12" ht="30" customHeight="1">
      <c r="A47" s="3" t="s">
        <v>1967</v>
      </c>
      <c r="B47" s="3" t="s">
        <v>1968</v>
      </c>
      <c r="C47" s="3" t="s">
        <v>1643</v>
      </c>
      <c r="D47" s="3" t="s">
        <v>1969</v>
      </c>
      <c r="E47" s="3" t="s">
        <v>1970</v>
      </c>
      <c r="F47" s="8">
        <v>1204</v>
      </c>
      <c r="G47" s="3" t="s">
        <v>1380</v>
      </c>
      <c r="H47" s="3" t="s">
        <v>1642</v>
      </c>
      <c r="I47" s="8">
        <v>1</v>
      </c>
      <c r="J47" s="8">
        <v>1</v>
      </c>
      <c r="K47" s="3" t="s">
        <v>85</v>
      </c>
      <c r="L47" s="3" t="s">
        <v>1837</v>
      </c>
    </row>
    <row r="48" spans="1:12" ht="30" customHeight="1">
      <c r="A48" s="4" t="s">
        <v>1971</v>
      </c>
      <c r="B48" s="4" t="s">
        <v>1972</v>
      </c>
      <c r="C48" s="4" t="s">
        <v>1643</v>
      </c>
      <c r="D48" s="4" t="s">
        <v>1973</v>
      </c>
      <c r="E48" s="4" t="s">
        <v>1974</v>
      </c>
      <c r="F48" s="9">
        <v>1204</v>
      </c>
      <c r="G48" s="4" t="s">
        <v>1380</v>
      </c>
      <c r="H48" s="4" t="s">
        <v>1642</v>
      </c>
      <c r="I48" s="9">
        <v>1</v>
      </c>
      <c r="J48" s="9">
        <v>2</v>
      </c>
      <c r="K48" s="4" t="s">
        <v>85</v>
      </c>
      <c r="L48" s="4" t="s">
        <v>1837</v>
      </c>
    </row>
    <row r="49" spans="1:12" ht="48" customHeight="1">
      <c r="A49" s="3" t="s">
        <v>1975</v>
      </c>
      <c r="B49" s="3" t="s">
        <v>1976</v>
      </c>
      <c r="C49" s="3" t="s">
        <v>1643</v>
      </c>
      <c r="D49" s="3" t="s">
        <v>1977</v>
      </c>
      <c r="E49" s="3" t="s">
        <v>1978</v>
      </c>
      <c r="F49" s="8">
        <v>1204</v>
      </c>
      <c r="G49" s="3" t="s">
        <v>1380</v>
      </c>
      <c r="H49" s="3" t="s">
        <v>1642</v>
      </c>
      <c r="I49" s="8">
        <v>3</v>
      </c>
      <c r="J49" s="8">
        <v>2</v>
      </c>
      <c r="K49" s="3" t="s">
        <v>1979</v>
      </c>
      <c r="L49" s="3" t="s">
        <v>1837</v>
      </c>
    </row>
    <row r="50" spans="1:12" ht="48" customHeight="1">
      <c r="A50" s="4" t="s">
        <v>1980</v>
      </c>
      <c r="B50" s="4" t="s">
        <v>1981</v>
      </c>
      <c r="C50" s="4" t="s">
        <v>1643</v>
      </c>
      <c r="D50" s="4" t="s">
        <v>1982</v>
      </c>
      <c r="E50" s="4" t="s">
        <v>1983</v>
      </c>
      <c r="F50" s="9">
        <v>1203</v>
      </c>
      <c r="G50" s="4" t="s">
        <v>1380</v>
      </c>
      <c r="H50" s="4" t="s">
        <v>1642</v>
      </c>
      <c r="I50" s="9">
        <v>2</v>
      </c>
      <c r="J50" s="9">
        <v>1</v>
      </c>
      <c r="K50" s="4" t="s">
        <v>1984</v>
      </c>
      <c r="L50" s="4" t="s">
        <v>1837</v>
      </c>
    </row>
    <row r="51" spans="1:12" ht="48" customHeight="1">
      <c r="A51" s="3" t="s">
        <v>1985</v>
      </c>
      <c r="B51" s="3" t="s">
        <v>1986</v>
      </c>
      <c r="C51" s="3" t="s">
        <v>1643</v>
      </c>
      <c r="D51" s="3" t="s">
        <v>1987</v>
      </c>
      <c r="E51" s="3" t="s">
        <v>1988</v>
      </c>
      <c r="F51" s="8">
        <v>1203</v>
      </c>
      <c r="G51" s="3" t="s">
        <v>1380</v>
      </c>
      <c r="H51" s="3" t="s">
        <v>1642</v>
      </c>
      <c r="I51" s="8">
        <v>1</v>
      </c>
      <c r="J51" s="8">
        <v>1</v>
      </c>
      <c r="K51" s="3" t="s">
        <v>85</v>
      </c>
      <c r="L51" s="3" t="s">
        <v>1837</v>
      </c>
    </row>
    <row r="52" spans="1:12" ht="30" customHeight="1">
      <c r="A52" s="4" t="s">
        <v>1989</v>
      </c>
      <c r="B52" s="4" t="s">
        <v>1990</v>
      </c>
      <c r="C52" s="4" t="s">
        <v>1643</v>
      </c>
      <c r="D52" s="4" t="s">
        <v>1991</v>
      </c>
      <c r="E52" s="4" t="s">
        <v>1992</v>
      </c>
      <c r="F52" s="9">
        <v>1202</v>
      </c>
      <c r="G52" s="4" t="s">
        <v>1380</v>
      </c>
      <c r="H52" s="4" t="s">
        <v>1642</v>
      </c>
      <c r="I52" s="9">
        <v>1</v>
      </c>
      <c r="J52" s="9">
        <v>12</v>
      </c>
      <c r="K52" s="4" t="s">
        <v>85</v>
      </c>
      <c r="L52" s="4" t="s">
        <v>1837</v>
      </c>
    </row>
    <row r="53" spans="1:12" ht="30" customHeight="1">
      <c r="A53" s="3" t="s">
        <v>1993</v>
      </c>
      <c r="B53" s="3" t="s">
        <v>1994</v>
      </c>
      <c r="C53" s="3" t="s">
        <v>1643</v>
      </c>
      <c r="D53" s="3" t="s">
        <v>1995</v>
      </c>
      <c r="E53" s="3" t="s">
        <v>1996</v>
      </c>
      <c r="F53" s="8">
        <v>1202</v>
      </c>
      <c r="G53" s="3" t="s">
        <v>1380</v>
      </c>
      <c r="H53" s="3" t="s">
        <v>1642</v>
      </c>
      <c r="I53" s="8">
        <v>2</v>
      </c>
      <c r="J53" s="8">
        <v>2</v>
      </c>
      <c r="K53" s="3" t="s">
        <v>1997</v>
      </c>
      <c r="L53" s="3" t="s">
        <v>1837</v>
      </c>
    </row>
    <row r="54" spans="1:12" ht="48" customHeight="1">
      <c r="A54" s="4" t="s">
        <v>1998</v>
      </c>
      <c r="B54" s="4" t="s">
        <v>1999</v>
      </c>
      <c r="C54" s="4" t="s">
        <v>1643</v>
      </c>
      <c r="D54" s="4" t="s">
        <v>2000</v>
      </c>
      <c r="E54" s="4" t="s">
        <v>2001</v>
      </c>
      <c r="F54" s="9">
        <v>1201</v>
      </c>
      <c r="G54" s="4" t="s">
        <v>1380</v>
      </c>
      <c r="H54" s="4" t="s">
        <v>1642</v>
      </c>
      <c r="I54" s="9">
        <v>1</v>
      </c>
      <c r="J54" s="9">
        <v>1</v>
      </c>
      <c r="K54" s="4" t="s">
        <v>85</v>
      </c>
      <c r="L54" s="4" t="s">
        <v>1837</v>
      </c>
    </row>
    <row r="55" spans="1:12" ht="48" customHeight="1">
      <c r="A55" s="3" t="s">
        <v>2002</v>
      </c>
      <c r="B55" s="3" t="s">
        <v>2003</v>
      </c>
      <c r="C55" s="3" t="s">
        <v>1643</v>
      </c>
      <c r="D55" s="3" t="s">
        <v>2004</v>
      </c>
      <c r="E55" s="3" t="s">
        <v>2005</v>
      </c>
      <c r="F55" s="8">
        <v>1201</v>
      </c>
      <c r="G55" s="3" t="s">
        <v>1380</v>
      </c>
      <c r="H55" s="3" t="s">
        <v>1642</v>
      </c>
      <c r="I55" s="8">
        <v>1</v>
      </c>
      <c r="J55" s="8">
        <v>29</v>
      </c>
      <c r="K55" s="3" t="s">
        <v>85</v>
      </c>
      <c r="L55" s="3" t="s">
        <v>1837</v>
      </c>
    </row>
    <row r="56" spans="1:12" ht="48" customHeight="1">
      <c r="A56" s="4" t="s">
        <v>2006</v>
      </c>
      <c r="B56" s="4" t="s">
        <v>2007</v>
      </c>
      <c r="C56" s="4" t="s">
        <v>1643</v>
      </c>
      <c r="D56" s="4" t="s">
        <v>2008</v>
      </c>
      <c r="E56" s="4" t="s">
        <v>2009</v>
      </c>
      <c r="F56" s="9">
        <v>1199</v>
      </c>
      <c r="G56" s="4" t="s">
        <v>1380</v>
      </c>
      <c r="H56" s="4" t="s">
        <v>1642</v>
      </c>
      <c r="I56" s="9">
        <v>1</v>
      </c>
      <c r="J56" s="9">
        <v>0</v>
      </c>
      <c r="K56" s="4" t="s">
        <v>85</v>
      </c>
      <c r="L56" s="4" t="s">
        <v>1837</v>
      </c>
    </row>
    <row r="57" spans="1:12" ht="30" customHeight="1">
      <c r="A57" s="3" t="s">
        <v>838</v>
      </c>
      <c r="B57" s="3" t="s">
        <v>2010</v>
      </c>
      <c r="C57" s="3" t="s">
        <v>1643</v>
      </c>
      <c r="D57" s="3" t="s">
        <v>2011</v>
      </c>
      <c r="E57" s="3" t="s">
        <v>2012</v>
      </c>
      <c r="F57" s="8">
        <v>1082</v>
      </c>
      <c r="G57" s="3" t="s">
        <v>1376</v>
      </c>
      <c r="H57" s="3" t="s">
        <v>1642</v>
      </c>
      <c r="I57" s="8">
        <v>2</v>
      </c>
      <c r="J57" s="8">
        <v>1</v>
      </c>
      <c r="K57" s="3" t="s">
        <v>2013</v>
      </c>
      <c r="L57" s="3" t="s">
        <v>1837</v>
      </c>
    </row>
    <row r="58" spans="1:12" ht="48" customHeight="1">
      <c r="A58" s="4" t="s">
        <v>2014</v>
      </c>
      <c r="B58" s="4" t="s">
        <v>2015</v>
      </c>
      <c r="C58" s="4" t="s">
        <v>1643</v>
      </c>
      <c r="D58" s="4" t="s">
        <v>1962</v>
      </c>
      <c r="E58" s="4" t="s">
        <v>1963</v>
      </c>
      <c r="F58" s="9">
        <v>1205</v>
      </c>
      <c r="G58" s="4" t="s">
        <v>1380</v>
      </c>
      <c r="H58" s="4" t="s">
        <v>1642</v>
      </c>
      <c r="I58" s="9">
        <v>2</v>
      </c>
      <c r="J58" s="9">
        <v>1</v>
      </c>
      <c r="K58" s="4" t="s">
        <v>1964</v>
      </c>
      <c r="L58" s="4" t="s">
        <v>2016</v>
      </c>
    </row>
    <row r="59" spans="1:12" ht="48" customHeight="1">
      <c r="A59" s="3" t="s">
        <v>2017</v>
      </c>
      <c r="B59" s="3" t="s">
        <v>2018</v>
      </c>
      <c r="C59" s="3" t="s">
        <v>1643</v>
      </c>
      <c r="D59" s="3" t="s">
        <v>2019</v>
      </c>
      <c r="E59" s="3" t="s">
        <v>2020</v>
      </c>
      <c r="F59" s="8">
        <v>1205</v>
      </c>
      <c r="G59" s="3" t="s">
        <v>1380</v>
      </c>
      <c r="H59" s="3" t="s">
        <v>1642</v>
      </c>
      <c r="I59" s="8">
        <v>2</v>
      </c>
      <c r="J59" s="8">
        <v>1</v>
      </c>
      <c r="K59" s="3" t="s">
        <v>2004</v>
      </c>
      <c r="L59" s="3" t="s">
        <v>2016</v>
      </c>
    </row>
    <row r="60" spans="1:12" ht="48" customHeight="1">
      <c r="A60" s="4" t="s">
        <v>2021</v>
      </c>
      <c r="B60" s="4" t="s">
        <v>2022</v>
      </c>
      <c r="C60" s="4" t="s">
        <v>1643</v>
      </c>
      <c r="D60" s="4" t="s">
        <v>1969</v>
      </c>
      <c r="E60" s="4" t="s">
        <v>1970</v>
      </c>
      <c r="F60" s="9">
        <v>1204</v>
      </c>
      <c r="G60" s="4" t="s">
        <v>1380</v>
      </c>
      <c r="H60" s="4" t="s">
        <v>1642</v>
      </c>
      <c r="I60" s="9">
        <v>2</v>
      </c>
      <c r="J60" s="9">
        <v>0</v>
      </c>
      <c r="K60" s="4" t="s">
        <v>2023</v>
      </c>
      <c r="L60" s="4" t="s">
        <v>2016</v>
      </c>
    </row>
    <row r="61" spans="1:12" ht="48" customHeight="1">
      <c r="A61" s="3" t="s">
        <v>2024</v>
      </c>
      <c r="B61" s="3" t="s">
        <v>2025</v>
      </c>
      <c r="C61" s="3" t="s">
        <v>1643</v>
      </c>
      <c r="D61" s="3" t="s">
        <v>1973</v>
      </c>
      <c r="E61" s="3" t="s">
        <v>1974</v>
      </c>
      <c r="F61" s="8">
        <v>1204</v>
      </c>
      <c r="G61" s="3" t="s">
        <v>1380</v>
      </c>
      <c r="H61" s="3" t="s">
        <v>1642</v>
      </c>
      <c r="I61" s="8">
        <v>2</v>
      </c>
      <c r="J61" s="8">
        <v>0</v>
      </c>
      <c r="K61" s="3" t="s">
        <v>2026</v>
      </c>
      <c r="L61" s="3" t="s">
        <v>2016</v>
      </c>
    </row>
    <row r="62" spans="1:12" ht="48" customHeight="1">
      <c r="A62" s="4" t="s">
        <v>2027</v>
      </c>
      <c r="B62" s="4" t="s">
        <v>2028</v>
      </c>
      <c r="C62" s="4" t="s">
        <v>1643</v>
      </c>
      <c r="D62" s="4" t="s">
        <v>1987</v>
      </c>
      <c r="E62" s="4" t="s">
        <v>1988</v>
      </c>
      <c r="F62" s="9">
        <v>1203</v>
      </c>
      <c r="G62" s="4" t="s">
        <v>1380</v>
      </c>
      <c r="H62" s="4" t="s">
        <v>1642</v>
      </c>
      <c r="I62" s="9">
        <v>2</v>
      </c>
      <c r="J62" s="9">
        <v>1</v>
      </c>
      <c r="K62" s="4" t="s">
        <v>2029</v>
      </c>
      <c r="L62" s="4" t="s">
        <v>2016</v>
      </c>
    </row>
    <row r="63" spans="1:12" ht="48" customHeight="1">
      <c r="A63" s="3" t="s">
        <v>2030</v>
      </c>
      <c r="B63" s="3" t="s">
        <v>2031</v>
      </c>
      <c r="C63" s="3" t="s">
        <v>1643</v>
      </c>
      <c r="D63" s="3" t="s">
        <v>2032</v>
      </c>
      <c r="E63" s="3" t="s">
        <v>2033</v>
      </c>
      <c r="F63" s="8">
        <v>1203</v>
      </c>
      <c r="G63" s="3" t="s">
        <v>1380</v>
      </c>
      <c r="H63" s="3" t="s">
        <v>1642</v>
      </c>
      <c r="I63" s="8">
        <v>2</v>
      </c>
      <c r="J63" s="8">
        <v>6</v>
      </c>
      <c r="K63" s="3" t="s">
        <v>2034</v>
      </c>
      <c r="L63" s="3" t="s">
        <v>2016</v>
      </c>
    </row>
    <row r="64" spans="1:12" ht="48" customHeight="1">
      <c r="A64" s="4" t="s">
        <v>2035</v>
      </c>
      <c r="B64" s="4" t="s">
        <v>2036</v>
      </c>
      <c r="C64" s="4" t="s">
        <v>1643</v>
      </c>
      <c r="D64" s="4" t="s">
        <v>1982</v>
      </c>
      <c r="E64" s="4" t="s">
        <v>1983</v>
      </c>
      <c r="F64" s="9">
        <v>1203</v>
      </c>
      <c r="G64" s="4" t="s">
        <v>1380</v>
      </c>
      <c r="H64" s="4" t="s">
        <v>1642</v>
      </c>
      <c r="I64" s="9">
        <v>2</v>
      </c>
      <c r="J64" s="9">
        <v>0</v>
      </c>
      <c r="K64" s="4" t="s">
        <v>2008</v>
      </c>
      <c r="L64" s="4" t="s">
        <v>2016</v>
      </c>
    </row>
    <row r="65" spans="1:12" ht="48" customHeight="1">
      <c r="A65" s="3" t="s">
        <v>2037</v>
      </c>
      <c r="B65" s="3" t="s">
        <v>2038</v>
      </c>
      <c r="C65" s="3" t="s">
        <v>1643</v>
      </c>
      <c r="D65" s="3" t="s">
        <v>2039</v>
      </c>
      <c r="E65" s="3" t="s">
        <v>2040</v>
      </c>
      <c r="F65" s="8">
        <v>1203</v>
      </c>
      <c r="G65" s="3" t="s">
        <v>1380</v>
      </c>
      <c r="H65" s="3" t="s">
        <v>1642</v>
      </c>
      <c r="I65" s="8">
        <v>3</v>
      </c>
      <c r="J65" s="8">
        <v>8</v>
      </c>
      <c r="K65" s="3" t="s">
        <v>2041</v>
      </c>
      <c r="L65" s="3" t="s">
        <v>2016</v>
      </c>
    </row>
    <row r="66" spans="1:12" ht="48" customHeight="1">
      <c r="A66" s="4" t="s">
        <v>2042</v>
      </c>
      <c r="B66" s="4" t="s">
        <v>2043</v>
      </c>
      <c r="C66" s="4" t="s">
        <v>1643</v>
      </c>
      <c r="D66" s="4" t="s">
        <v>1995</v>
      </c>
      <c r="E66" s="4" t="s">
        <v>1996</v>
      </c>
      <c r="F66" s="9">
        <v>1202</v>
      </c>
      <c r="G66" s="4" t="s">
        <v>1380</v>
      </c>
      <c r="H66" s="4" t="s">
        <v>1642</v>
      </c>
      <c r="I66" s="9">
        <v>2</v>
      </c>
      <c r="J66" s="9">
        <v>1</v>
      </c>
      <c r="K66" s="4" t="s">
        <v>2044</v>
      </c>
      <c r="L66" s="4" t="s">
        <v>2016</v>
      </c>
    </row>
    <row r="67" spans="1:12" ht="48" customHeight="1">
      <c r="A67" s="3" t="s">
        <v>2045</v>
      </c>
      <c r="B67" s="3" t="s">
        <v>2046</v>
      </c>
      <c r="C67" s="3" t="s">
        <v>1643</v>
      </c>
      <c r="D67" s="3" t="s">
        <v>2047</v>
      </c>
      <c r="E67" s="3" t="s">
        <v>2048</v>
      </c>
      <c r="F67" s="8">
        <v>1202</v>
      </c>
      <c r="G67" s="3" t="s">
        <v>1380</v>
      </c>
      <c r="H67" s="3" t="s">
        <v>1642</v>
      </c>
      <c r="I67" s="8">
        <v>2</v>
      </c>
      <c r="J67" s="8">
        <v>0</v>
      </c>
      <c r="K67" s="3" t="s">
        <v>2000</v>
      </c>
      <c r="L67" s="3" t="s">
        <v>2016</v>
      </c>
    </row>
    <row r="68" spans="1:12" ht="48" customHeight="1">
      <c r="A68" s="4" t="s">
        <v>445</v>
      </c>
      <c r="B68" s="4" t="s">
        <v>2049</v>
      </c>
      <c r="C68" s="4" t="s">
        <v>1643</v>
      </c>
      <c r="D68" s="4" t="s">
        <v>2050</v>
      </c>
      <c r="E68" s="4" t="s">
        <v>2051</v>
      </c>
      <c r="F68" s="9">
        <v>9856</v>
      </c>
      <c r="G68" s="4" t="s">
        <v>2052</v>
      </c>
      <c r="H68" s="4" t="s">
        <v>1642</v>
      </c>
      <c r="I68" s="9">
        <v>4</v>
      </c>
      <c r="J68" s="9">
        <v>7</v>
      </c>
      <c r="K68" s="4" t="s">
        <v>2053</v>
      </c>
      <c r="L68" s="4" t="s">
        <v>2054</v>
      </c>
    </row>
    <row r="69" spans="1:12" ht="48" customHeight="1">
      <c r="A69" s="3" t="s">
        <v>463</v>
      </c>
      <c r="B69" s="3" t="s">
        <v>2055</v>
      </c>
      <c r="C69" s="3" t="s">
        <v>1643</v>
      </c>
      <c r="D69" s="3" t="s">
        <v>2056</v>
      </c>
      <c r="E69" s="3" t="s">
        <v>2057</v>
      </c>
      <c r="F69" s="8">
        <v>6141</v>
      </c>
      <c r="G69" s="3" t="s">
        <v>2058</v>
      </c>
      <c r="H69" s="3" t="s">
        <v>1664</v>
      </c>
      <c r="I69" s="8">
        <v>1</v>
      </c>
      <c r="J69" s="8">
        <v>10</v>
      </c>
      <c r="K69" s="3" t="s">
        <v>85</v>
      </c>
      <c r="L69" s="3" t="s">
        <v>2054</v>
      </c>
    </row>
    <row r="70" spans="1:12" ht="48" customHeight="1">
      <c r="A70" s="4" t="s">
        <v>456</v>
      </c>
      <c r="B70" s="4" t="s">
        <v>2059</v>
      </c>
      <c r="C70" s="4" t="s">
        <v>1643</v>
      </c>
      <c r="D70" s="4" t="s">
        <v>2060</v>
      </c>
      <c r="E70" s="4" t="s">
        <v>2061</v>
      </c>
      <c r="F70" s="9">
        <v>5541</v>
      </c>
      <c r="G70" s="4" t="s">
        <v>2062</v>
      </c>
      <c r="H70" s="4" t="s">
        <v>1642</v>
      </c>
      <c r="I70" s="9">
        <v>5</v>
      </c>
      <c r="J70" s="9">
        <v>7</v>
      </c>
      <c r="K70" s="4" t="s">
        <v>2063</v>
      </c>
      <c r="L70" s="4" t="s">
        <v>2054</v>
      </c>
    </row>
    <row r="71" spans="1:12" ht="48" customHeight="1">
      <c r="A71" s="3" t="s">
        <v>484</v>
      </c>
      <c r="B71" s="3" t="s">
        <v>2064</v>
      </c>
      <c r="C71" s="3" t="s">
        <v>1643</v>
      </c>
      <c r="D71" s="3" t="s">
        <v>2065</v>
      </c>
      <c r="E71" s="3" t="s">
        <v>2066</v>
      </c>
      <c r="F71" s="8">
        <v>2778</v>
      </c>
      <c r="G71" s="3" t="s">
        <v>1865</v>
      </c>
      <c r="H71" s="3" t="s">
        <v>1642</v>
      </c>
      <c r="I71" s="8">
        <v>2</v>
      </c>
      <c r="J71" s="8">
        <v>3</v>
      </c>
      <c r="K71" s="3" t="s">
        <v>2067</v>
      </c>
      <c r="L71" s="3" t="s">
        <v>2054</v>
      </c>
    </row>
    <row r="72" spans="1:12" ht="48" customHeight="1">
      <c r="A72" s="4" t="s">
        <v>473</v>
      </c>
      <c r="B72" s="4" t="s">
        <v>2068</v>
      </c>
      <c r="C72" s="4" t="s">
        <v>1643</v>
      </c>
      <c r="D72" s="4" t="s">
        <v>2069</v>
      </c>
      <c r="E72" s="4" t="s">
        <v>2070</v>
      </c>
      <c r="F72" s="9">
        <v>1205</v>
      </c>
      <c r="G72" s="4" t="s">
        <v>1380</v>
      </c>
      <c r="H72" s="4" t="s">
        <v>1642</v>
      </c>
      <c r="I72" s="9">
        <v>3</v>
      </c>
      <c r="J72" s="9">
        <v>1</v>
      </c>
      <c r="K72" s="4" t="s">
        <v>2071</v>
      </c>
      <c r="L72" s="4" t="s">
        <v>2054</v>
      </c>
    </row>
    <row r="73" spans="1:12" ht="48" customHeight="1">
      <c r="A73" s="3" t="s">
        <v>532</v>
      </c>
      <c r="B73" s="3" t="s">
        <v>2072</v>
      </c>
      <c r="C73" s="3" t="s">
        <v>1643</v>
      </c>
      <c r="D73" s="3" t="s">
        <v>2073</v>
      </c>
      <c r="E73" s="3" t="s">
        <v>2074</v>
      </c>
      <c r="F73" s="8">
        <v>1204</v>
      </c>
      <c r="G73" s="3" t="s">
        <v>1380</v>
      </c>
      <c r="H73" s="3" t="s">
        <v>1642</v>
      </c>
      <c r="I73" s="8">
        <v>2</v>
      </c>
      <c r="J73" s="8">
        <v>1</v>
      </c>
      <c r="K73" s="3" t="s">
        <v>2075</v>
      </c>
      <c r="L73" s="3" t="s">
        <v>2054</v>
      </c>
    </row>
    <row r="74" spans="1:12" ht="48" customHeight="1">
      <c r="A74" s="4" t="s">
        <v>495</v>
      </c>
      <c r="B74" s="4" t="s">
        <v>2076</v>
      </c>
      <c r="C74" s="4" t="s">
        <v>1643</v>
      </c>
      <c r="D74" s="4" t="s">
        <v>2077</v>
      </c>
      <c r="E74" s="4" t="s">
        <v>2078</v>
      </c>
      <c r="F74" s="9">
        <v>1200</v>
      </c>
      <c r="G74" s="4" t="s">
        <v>1380</v>
      </c>
      <c r="H74" s="4" t="s">
        <v>1642</v>
      </c>
      <c r="I74" s="9">
        <v>4</v>
      </c>
      <c r="J74" s="9">
        <v>1</v>
      </c>
      <c r="K74" s="4" t="s">
        <v>2079</v>
      </c>
      <c r="L74" s="4" t="s">
        <v>2054</v>
      </c>
    </row>
    <row r="75" spans="1:12" ht="84" customHeight="1">
      <c r="A75" s="3" t="s">
        <v>2080</v>
      </c>
      <c r="B75" s="3" t="s">
        <v>2081</v>
      </c>
      <c r="C75" s="3" t="s">
        <v>1643</v>
      </c>
      <c r="D75" s="3" t="s">
        <v>2082</v>
      </c>
      <c r="E75" s="3" t="s">
        <v>2083</v>
      </c>
      <c r="F75" s="8">
        <v>15778</v>
      </c>
      <c r="G75" s="3" t="s">
        <v>2084</v>
      </c>
      <c r="H75" s="3" t="s">
        <v>1642</v>
      </c>
      <c r="I75" s="8">
        <v>3</v>
      </c>
      <c r="J75" s="8">
        <v>9</v>
      </c>
      <c r="K75" s="3" t="s">
        <v>2085</v>
      </c>
      <c r="L75" s="3" t="s">
        <v>2086</v>
      </c>
    </row>
    <row r="76" spans="1:12" ht="48" customHeight="1">
      <c r="A76" s="4" t="s">
        <v>2087</v>
      </c>
      <c r="B76" s="4" t="s">
        <v>2088</v>
      </c>
      <c r="C76" s="4" t="s">
        <v>1643</v>
      </c>
      <c r="D76" s="4" t="s">
        <v>2089</v>
      </c>
      <c r="E76" s="4" t="s">
        <v>2090</v>
      </c>
      <c r="F76" s="9">
        <v>4528</v>
      </c>
      <c r="G76" s="4" t="s">
        <v>2091</v>
      </c>
      <c r="H76" s="4" t="s">
        <v>1664</v>
      </c>
      <c r="I76" s="9">
        <v>3</v>
      </c>
      <c r="J76" s="9">
        <v>2</v>
      </c>
      <c r="K76" s="4" t="s">
        <v>2092</v>
      </c>
      <c r="L76" s="4" t="s">
        <v>2086</v>
      </c>
    </row>
    <row r="77" spans="1:12" ht="48" customHeight="1">
      <c r="A77" s="3" t="s">
        <v>2093</v>
      </c>
      <c r="B77" s="3" t="s">
        <v>2094</v>
      </c>
      <c r="C77" s="3" t="s">
        <v>1643</v>
      </c>
      <c r="D77" s="3" t="s">
        <v>2095</v>
      </c>
      <c r="E77" s="3" t="s">
        <v>2096</v>
      </c>
      <c r="F77" s="8">
        <v>4528</v>
      </c>
      <c r="G77" s="3" t="s">
        <v>2091</v>
      </c>
      <c r="H77" s="3" t="s">
        <v>1664</v>
      </c>
      <c r="I77" s="8">
        <v>4</v>
      </c>
      <c r="J77" s="8">
        <v>0</v>
      </c>
      <c r="K77" s="3" t="s">
        <v>2097</v>
      </c>
      <c r="L77" s="3" t="s">
        <v>2086</v>
      </c>
    </row>
    <row r="78" spans="1:12" ht="48" customHeight="1">
      <c r="A78" s="4" t="s">
        <v>2098</v>
      </c>
      <c r="B78" s="4" t="s">
        <v>2099</v>
      </c>
      <c r="C78" s="4" t="s">
        <v>1643</v>
      </c>
      <c r="D78" s="4" t="s">
        <v>2100</v>
      </c>
      <c r="E78" s="4" t="s">
        <v>2101</v>
      </c>
      <c r="F78" s="9">
        <v>4527</v>
      </c>
      <c r="G78" s="4" t="s">
        <v>2091</v>
      </c>
      <c r="H78" s="4" t="s">
        <v>1664</v>
      </c>
      <c r="I78" s="9">
        <v>4</v>
      </c>
      <c r="J78" s="9">
        <v>0</v>
      </c>
      <c r="K78" s="4" t="s">
        <v>2102</v>
      </c>
      <c r="L78" s="4" t="s">
        <v>2086</v>
      </c>
    </row>
    <row r="79" spans="1:12" ht="48" customHeight="1">
      <c r="A79" s="3" t="s">
        <v>2103</v>
      </c>
      <c r="B79" s="3" t="s">
        <v>2104</v>
      </c>
      <c r="C79" s="3" t="s">
        <v>1643</v>
      </c>
      <c r="D79" s="3" t="s">
        <v>2105</v>
      </c>
      <c r="E79" s="3" t="s">
        <v>2106</v>
      </c>
      <c r="F79" s="8">
        <v>4527</v>
      </c>
      <c r="G79" s="3" t="s">
        <v>2091</v>
      </c>
      <c r="H79" s="3" t="s">
        <v>1664</v>
      </c>
      <c r="I79" s="8">
        <v>4</v>
      </c>
      <c r="J79" s="8">
        <v>0</v>
      </c>
      <c r="K79" s="3" t="s">
        <v>2107</v>
      </c>
      <c r="L79" s="3" t="s">
        <v>2086</v>
      </c>
    </row>
    <row r="80" spans="1:12" ht="48" customHeight="1">
      <c r="A80" s="4" t="s">
        <v>2108</v>
      </c>
      <c r="B80" s="4" t="s">
        <v>2109</v>
      </c>
      <c r="C80" s="4" t="s">
        <v>1643</v>
      </c>
      <c r="D80" s="4" t="s">
        <v>2110</v>
      </c>
      <c r="E80" s="4" t="s">
        <v>2111</v>
      </c>
      <c r="F80" s="9">
        <v>4525</v>
      </c>
      <c r="G80" s="4" t="s">
        <v>2091</v>
      </c>
      <c r="H80" s="4" t="s">
        <v>1664</v>
      </c>
      <c r="I80" s="9">
        <v>4</v>
      </c>
      <c r="J80" s="9">
        <v>0</v>
      </c>
      <c r="K80" s="4" t="s">
        <v>2112</v>
      </c>
      <c r="L80" s="4" t="s">
        <v>2086</v>
      </c>
    </row>
    <row r="81" spans="1:12" ht="48" customHeight="1">
      <c r="A81" s="3" t="s">
        <v>2113</v>
      </c>
      <c r="B81" s="3" t="s">
        <v>2114</v>
      </c>
      <c r="C81" s="3" t="s">
        <v>1643</v>
      </c>
      <c r="D81" s="3" t="s">
        <v>1855</v>
      </c>
      <c r="E81" s="3" t="s">
        <v>1856</v>
      </c>
      <c r="F81" s="8">
        <v>3976</v>
      </c>
      <c r="G81" s="3" t="s">
        <v>1857</v>
      </c>
      <c r="H81" s="3" t="s">
        <v>1642</v>
      </c>
      <c r="I81" s="8">
        <v>1</v>
      </c>
      <c r="J81" s="8">
        <v>0</v>
      </c>
      <c r="K81" s="3" t="s">
        <v>85</v>
      </c>
      <c r="L81" s="3" t="s">
        <v>2086</v>
      </c>
    </row>
    <row r="82" spans="1:12" ht="48" customHeight="1">
      <c r="A82" s="4" t="s">
        <v>2115</v>
      </c>
      <c r="B82" s="4" t="s">
        <v>2116</v>
      </c>
      <c r="C82" s="4" t="s">
        <v>1643</v>
      </c>
      <c r="D82" s="4" t="s">
        <v>2117</v>
      </c>
      <c r="E82" s="4" t="s">
        <v>2118</v>
      </c>
      <c r="F82" s="9">
        <v>1599</v>
      </c>
      <c r="G82" s="4" t="s">
        <v>1693</v>
      </c>
      <c r="H82" s="4" t="s">
        <v>1664</v>
      </c>
      <c r="I82" s="9">
        <v>1</v>
      </c>
      <c r="J82" s="9">
        <v>3</v>
      </c>
      <c r="K82" s="4" t="s">
        <v>85</v>
      </c>
      <c r="L82" s="4" t="s">
        <v>2086</v>
      </c>
    </row>
    <row r="83" spans="1:12" ht="48" customHeight="1">
      <c r="A83" s="3" t="s">
        <v>2119</v>
      </c>
      <c r="B83" s="3" t="s">
        <v>2120</v>
      </c>
      <c r="C83" s="3" t="s">
        <v>1643</v>
      </c>
      <c r="D83" s="3" t="s">
        <v>2121</v>
      </c>
      <c r="E83" s="3" t="s">
        <v>2122</v>
      </c>
      <c r="F83" s="8">
        <v>1596</v>
      </c>
      <c r="G83" s="3" t="s">
        <v>1693</v>
      </c>
      <c r="H83" s="3" t="s">
        <v>1664</v>
      </c>
      <c r="I83" s="8">
        <v>1</v>
      </c>
      <c r="J83" s="8">
        <v>1</v>
      </c>
      <c r="K83" s="3" t="s">
        <v>85</v>
      </c>
      <c r="L83" s="3" t="s">
        <v>2086</v>
      </c>
    </row>
    <row r="84" spans="1:12" ht="48" customHeight="1">
      <c r="A84" s="4" t="s">
        <v>2123</v>
      </c>
      <c r="B84" s="4" t="s">
        <v>2124</v>
      </c>
      <c r="C84" s="4" t="s">
        <v>1643</v>
      </c>
      <c r="D84" s="4" t="s">
        <v>2125</v>
      </c>
      <c r="E84" s="4" t="s">
        <v>2126</v>
      </c>
      <c r="F84" s="9">
        <v>1593</v>
      </c>
      <c r="G84" s="4" t="s">
        <v>1693</v>
      </c>
      <c r="H84" s="4" t="s">
        <v>1664</v>
      </c>
      <c r="I84" s="9">
        <v>1</v>
      </c>
      <c r="J84" s="9">
        <v>4</v>
      </c>
      <c r="K84" s="4" t="s">
        <v>85</v>
      </c>
      <c r="L84" s="4" t="s">
        <v>2086</v>
      </c>
    </row>
    <row r="85" spans="1:12" ht="48" customHeight="1">
      <c r="A85" s="3" t="s">
        <v>2127</v>
      </c>
      <c r="B85" s="3" t="s">
        <v>2128</v>
      </c>
      <c r="C85" s="3" t="s">
        <v>1643</v>
      </c>
      <c r="D85" s="3" t="s">
        <v>2129</v>
      </c>
      <c r="E85" s="3" t="s">
        <v>2130</v>
      </c>
      <c r="F85" s="8">
        <v>1590</v>
      </c>
      <c r="G85" s="3" t="s">
        <v>1693</v>
      </c>
      <c r="H85" s="3" t="s">
        <v>1664</v>
      </c>
      <c r="I85" s="8">
        <v>1</v>
      </c>
      <c r="J85" s="8">
        <v>0</v>
      </c>
      <c r="K85" s="3" t="s">
        <v>85</v>
      </c>
      <c r="L85" s="3" t="s">
        <v>2086</v>
      </c>
    </row>
    <row r="86" spans="1:12" ht="48" customHeight="1">
      <c r="A86" s="4" t="s">
        <v>2131</v>
      </c>
      <c r="B86" s="4" t="s">
        <v>2132</v>
      </c>
      <c r="C86" s="4" t="s">
        <v>1643</v>
      </c>
      <c r="D86" s="4" t="s">
        <v>2129</v>
      </c>
      <c r="E86" s="4" t="s">
        <v>2130</v>
      </c>
      <c r="F86" s="9">
        <v>1590</v>
      </c>
      <c r="G86" s="4" t="s">
        <v>1693</v>
      </c>
      <c r="H86" s="4" t="s">
        <v>1664</v>
      </c>
      <c r="I86" s="9">
        <v>1</v>
      </c>
      <c r="J86" s="9">
        <v>1</v>
      </c>
      <c r="K86" s="4" t="s">
        <v>85</v>
      </c>
      <c r="L86" s="4" t="s">
        <v>2086</v>
      </c>
    </row>
    <row r="87" spans="1:12" ht="48" customHeight="1">
      <c r="A87" s="3" t="s">
        <v>2133</v>
      </c>
      <c r="B87" s="3" t="s">
        <v>2134</v>
      </c>
      <c r="C87" s="3" t="s">
        <v>1643</v>
      </c>
      <c r="D87" s="3" t="s">
        <v>2135</v>
      </c>
      <c r="E87" s="3" t="s">
        <v>2136</v>
      </c>
      <c r="F87" s="8">
        <v>1588</v>
      </c>
      <c r="G87" s="3" t="s">
        <v>1693</v>
      </c>
      <c r="H87" s="3" t="s">
        <v>1664</v>
      </c>
      <c r="I87" s="8">
        <v>1</v>
      </c>
      <c r="J87" s="8">
        <v>0</v>
      </c>
      <c r="K87" s="3" t="s">
        <v>85</v>
      </c>
      <c r="L87" s="3" t="s">
        <v>2086</v>
      </c>
    </row>
    <row r="88" spans="1:12" ht="48" customHeight="1">
      <c r="A88" s="4" t="s">
        <v>2137</v>
      </c>
      <c r="B88" s="4" t="s">
        <v>2138</v>
      </c>
      <c r="C88" s="4" t="s">
        <v>1643</v>
      </c>
      <c r="D88" s="4" t="s">
        <v>2135</v>
      </c>
      <c r="E88" s="4" t="s">
        <v>2136</v>
      </c>
      <c r="F88" s="9">
        <v>1588</v>
      </c>
      <c r="G88" s="4" t="s">
        <v>1693</v>
      </c>
      <c r="H88" s="4" t="s">
        <v>1664</v>
      </c>
      <c r="I88" s="9">
        <v>1</v>
      </c>
      <c r="J88" s="9">
        <v>0</v>
      </c>
      <c r="K88" s="4" t="s">
        <v>85</v>
      </c>
      <c r="L88" s="4" t="s">
        <v>2086</v>
      </c>
    </row>
    <row r="89" spans="1:12" ht="48" customHeight="1">
      <c r="A89" s="3" t="s">
        <v>2139</v>
      </c>
      <c r="B89" s="3" t="s">
        <v>2140</v>
      </c>
      <c r="C89" s="3" t="s">
        <v>1643</v>
      </c>
      <c r="D89" s="3" t="s">
        <v>2141</v>
      </c>
      <c r="E89" s="3" t="s">
        <v>2142</v>
      </c>
      <c r="F89" s="8">
        <v>1229</v>
      </c>
      <c r="G89" s="3" t="s">
        <v>1370</v>
      </c>
      <c r="H89" s="3" t="s">
        <v>1642</v>
      </c>
      <c r="I89" s="8">
        <v>2</v>
      </c>
      <c r="J89" s="8">
        <v>9</v>
      </c>
      <c r="K89" s="3" t="s">
        <v>2143</v>
      </c>
      <c r="L89" s="3" t="s">
        <v>2086</v>
      </c>
    </row>
    <row r="90" spans="1:12" ht="48" customHeight="1">
      <c r="A90" s="4" t="s">
        <v>246</v>
      </c>
      <c r="B90" s="4" t="s">
        <v>2144</v>
      </c>
      <c r="C90" s="4" t="s">
        <v>1643</v>
      </c>
      <c r="D90" s="4" t="s">
        <v>2145</v>
      </c>
      <c r="E90" s="4" t="s">
        <v>2146</v>
      </c>
      <c r="F90" s="9">
        <v>2776</v>
      </c>
      <c r="G90" s="4" t="s">
        <v>1865</v>
      </c>
      <c r="H90" s="4" t="s">
        <v>1642</v>
      </c>
      <c r="I90" s="9">
        <v>2</v>
      </c>
      <c r="J90" s="9">
        <v>3</v>
      </c>
      <c r="K90" s="4" t="s">
        <v>2147</v>
      </c>
      <c r="L90" s="4" t="s">
        <v>2148</v>
      </c>
    </row>
    <row r="91" spans="1:12" ht="66" customHeight="1">
      <c r="A91" s="3" t="s">
        <v>223</v>
      </c>
      <c r="B91" s="3" t="s">
        <v>2149</v>
      </c>
      <c r="C91" s="3" t="s">
        <v>1643</v>
      </c>
      <c r="D91" s="3" t="s">
        <v>2150</v>
      </c>
      <c r="E91" s="3" t="s">
        <v>2151</v>
      </c>
      <c r="F91" s="8">
        <v>2440</v>
      </c>
      <c r="G91" s="3" t="s">
        <v>1778</v>
      </c>
      <c r="H91" s="3" t="s">
        <v>1642</v>
      </c>
      <c r="I91" s="8">
        <v>7</v>
      </c>
      <c r="J91" s="8">
        <v>0</v>
      </c>
      <c r="K91" s="3" t="s">
        <v>2152</v>
      </c>
      <c r="L91" s="3" t="s">
        <v>2148</v>
      </c>
    </row>
    <row r="92" spans="1:12" ht="48" customHeight="1">
      <c r="A92" s="4" t="s">
        <v>242</v>
      </c>
      <c r="B92" s="4" t="s">
        <v>2153</v>
      </c>
      <c r="C92" s="4" t="s">
        <v>1643</v>
      </c>
      <c r="D92" s="4" t="s">
        <v>2154</v>
      </c>
      <c r="E92" s="4" t="s">
        <v>2155</v>
      </c>
      <c r="F92" s="9">
        <v>2435</v>
      </c>
      <c r="G92" s="4" t="s">
        <v>1778</v>
      </c>
      <c r="H92" s="4" t="s">
        <v>1642</v>
      </c>
      <c r="I92" s="9">
        <v>1</v>
      </c>
      <c r="J92" s="9">
        <v>1</v>
      </c>
      <c r="K92" s="4" t="s">
        <v>85</v>
      </c>
      <c r="L92" s="4" t="s">
        <v>2148</v>
      </c>
    </row>
    <row r="93" spans="1:12" ht="48" customHeight="1">
      <c r="A93" s="3" t="s">
        <v>236</v>
      </c>
      <c r="B93" s="3" t="s">
        <v>2156</v>
      </c>
      <c r="C93" s="3" t="s">
        <v>1643</v>
      </c>
      <c r="D93" s="3" t="s">
        <v>2157</v>
      </c>
      <c r="E93" s="3" t="s">
        <v>2158</v>
      </c>
      <c r="F93" s="8">
        <v>2435</v>
      </c>
      <c r="G93" s="3" t="s">
        <v>1778</v>
      </c>
      <c r="H93" s="3" t="s">
        <v>1642</v>
      </c>
      <c r="I93" s="8">
        <v>1</v>
      </c>
      <c r="J93" s="8">
        <v>2</v>
      </c>
      <c r="K93" s="3" t="s">
        <v>85</v>
      </c>
      <c r="L93" s="3" t="s">
        <v>2148</v>
      </c>
    </row>
    <row r="94" spans="1:12" ht="84" customHeight="1">
      <c r="A94" s="4" t="s">
        <v>1660</v>
      </c>
      <c r="B94" s="4" t="s">
        <v>2159</v>
      </c>
      <c r="C94" s="4" t="s">
        <v>1643</v>
      </c>
      <c r="D94" s="4" t="s">
        <v>2160</v>
      </c>
      <c r="E94" s="4" t="s">
        <v>2161</v>
      </c>
      <c r="F94" s="9">
        <v>19268</v>
      </c>
      <c r="G94" s="4" t="s">
        <v>2162</v>
      </c>
      <c r="H94" s="4" t="s">
        <v>1642</v>
      </c>
      <c r="I94" s="9">
        <v>8</v>
      </c>
      <c r="J94" s="9">
        <v>39</v>
      </c>
      <c r="K94" s="4" t="s">
        <v>2163</v>
      </c>
      <c r="L94" s="4" t="s">
        <v>2164</v>
      </c>
    </row>
    <row r="95" spans="1:12" ht="66" customHeight="1">
      <c r="A95" s="3" t="s">
        <v>2165</v>
      </c>
      <c r="B95" s="3" t="s">
        <v>2166</v>
      </c>
      <c r="C95" s="3" t="s">
        <v>1465</v>
      </c>
      <c r="D95" s="3" t="s">
        <v>1024</v>
      </c>
      <c r="E95" s="3" t="s">
        <v>2167</v>
      </c>
      <c r="F95" s="8">
        <v>15185</v>
      </c>
      <c r="G95" s="3" t="s">
        <v>2168</v>
      </c>
      <c r="H95" s="3" t="s">
        <v>1642</v>
      </c>
      <c r="I95" s="8">
        <v>0</v>
      </c>
      <c r="J95" s="8">
        <v>4</v>
      </c>
      <c r="K95" s="3" t="s">
        <v>85</v>
      </c>
      <c r="L95" s="3" t="s">
        <v>1837</v>
      </c>
    </row>
    <row r="96" spans="1:12" ht="102" customHeight="1">
      <c r="A96" s="4" t="s">
        <v>2169</v>
      </c>
      <c r="B96" s="4" t="s">
        <v>2170</v>
      </c>
      <c r="C96" s="4" t="s">
        <v>1465</v>
      </c>
      <c r="D96" s="4" t="s">
        <v>2171</v>
      </c>
      <c r="E96" s="4" t="s">
        <v>2172</v>
      </c>
      <c r="F96" s="9">
        <v>9136</v>
      </c>
      <c r="G96" s="4" t="s">
        <v>1641</v>
      </c>
      <c r="H96" s="4" t="s">
        <v>1642</v>
      </c>
      <c r="I96" s="9">
        <v>0</v>
      </c>
      <c r="J96" s="9">
        <v>5</v>
      </c>
      <c r="K96" s="4" t="s">
        <v>85</v>
      </c>
      <c r="L96" s="4" t="s">
        <v>1837</v>
      </c>
    </row>
    <row r="97" spans="1:12" ht="48" customHeight="1">
      <c r="A97" s="3" t="s">
        <v>2173</v>
      </c>
      <c r="B97" s="3" t="s">
        <v>2174</v>
      </c>
      <c r="C97" s="3" t="s">
        <v>1465</v>
      </c>
      <c r="D97" s="3" t="s">
        <v>2175</v>
      </c>
      <c r="E97" s="3" t="s">
        <v>2176</v>
      </c>
      <c r="F97" s="8">
        <v>8818</v>
      </c>
      <c r="G97" s="3" t="s">
        <v>2177</v>
      </c>
      <c r="H97" s="3" t="s">
        <v>1642</v>
      </c>
      <c r="I97" s="8">
        <v>0</v>
      </c>
      <c r="J97" s="8">
        <v>3</v>
      </c>
      <c r="K97" s="3" t="s">
        <v>85</v>
      </c>
      <c r="L97" s="3" t="s">
        <v>1837</v>
      </c>
    </row>
    <row r="98" spans="1:12" ht="48" customHeight="1">
      <c r="A98" s="4" t="s">
        <v>887</v>
      </c>
      <c r="B98" s="4" t="s">
        <v>2178</v>
      </c>
      <c r="C98" s="4" t="s">
        <v>1465</v>
      </c>
      <c r="D98" s="4" t="s">
        <v>1652</v>
      </c>
      <c r="E98" s="4" t="s">
        <v>1653</v>
      </c>
      <c r="F98" s="9">
        <v>6337</v>
      </c>
      <c r="G98" s="4" t="s">
        <v>1654</v>
      </c>
      <c r="H98" s="4" t="s">
        <v>1642</v>
      </c>
      <c r="I98" s="9">
        <v>0</v>
      </c>
      <c r="J98" s="9">
        <v>30</v>
      </c>
      <c r="K98" s="4" t="s">
        <v>85</v>
      </c>
      <c r="L98" s="4" t="s">
        <v>1837</v>
      </c>
    </row>
    <row r="99" spans="1:12" ht="48" customHeight="1">
      <c r="A99" s="3" t="s">
        <v>2179</v>
      </c>
      <c r="B99" s="3" t="s">
        <v>2180</v>
      </c>
      <c r="C99" s="3" t="s">
        <v>1465</v>
      </c>
      <c r="D99" s="3" t="s">
        <v>1652</v>
      </c>
      <c r="E99" s="3" t="s">
        <v>1653</v>
      </c>
      <c r="F99" s="8">
        <v>6337</v>
      </c>
      <c r="G99" s="3" t="s">
        <v>1654</v>
      </c>
      <c r="H99" s="3" t="s">
        <v>1642</v>
      </c>
      <c r="I99" s="8">
        <v>0</v>
      </c>
      <c r="J99" s="8">
        <v>21</v>
      </c>
      <c r="K99" s="3" t="s">
        <v>85</v>
      </c>
      <c r="L99" s="3" t="s">
        <v>1837</v>
      </c>
    </row>
    <row r="100" spans="1:12" ht="30" customHeight="1">
      <c r="A100" s="4" t="s">
        <v>2181</v>
      </c>
      <c r="B100" s="4" t="s">
        <v>2182</v>
      </c>
      <c r="C100" s="4" t="s">
        <v>1465</v>
      </c>
      <c r="D100" s="4" t="s">
        <v>1074</v>
      </c>
      <c r="E100" s="4" t="s">
        <v>2183</v>
      </c>
      <c r="F100" s="9">
        <v>4659</v>
      </c>
      <c r="G100" s="4" t="s">
        <v>2184</v>
      </c>
      <c r="H100" s="4" t="s">
        <v>1642</v>
      </c>
      <c r="I100" s="9">
        <v>0</v>
      </c>
      <c r="J100" s="9">
        <v>7</v>
      </c>
      <c r="K100" s="4" t="s">
        <v>85</v>
      </c>
      <c r="L100" s="4" t="s">
        <v>1837</v>
      </c>
    </row>
    <row r="101" spans="1:12" ht="30" customHeight="1">
      <c r="A101" s="3" t="s">
        <v>2185</v>
      </c>
      <c r="B101" s="3" t="s">
        <v>2186</v>
      </c>
      <c r="C101" s="3" t="s">
        <v>1465</v>
      </c>
      <c r="D101" s="3" t="s">
        <v>2100</v>
      </c>
      <c r="E101" s="3" t="s">
        <v>2101</v>
      </c>
      <c r="F101" s="8">
        <v>4527</v>
      </c>
      <c r="G101" s="3" t="s">
        <v>2091</v>
      </c>
      <c r="H101" s="3" t="s">
        <v>1664</v>
      </c>
      <c r="I101" s="8">
        <v>0</v>
      </c>
      <c r="J101" s="8">
        <v>6</v>
      </c>
      <c r="K101" s="3" t="s">
        <v>85</v>
      </c>
      <c r="L101" s="3" t="s">
        <v>1837</v>
      </c>
    </row>
    <row r="102" spans="1:12" ht="30" customHeight="1">
      <c r="A102" s="4" t="s">
        <v>2187</v>
      </c>
      <c r="B102" s="4" t="s">
        <v>2188</v>
      </c>
      <c r="C102" s="4" t="s">
        <v>1465</v>
      </c>
      <c r="D102" s="4" t="s">
        <v>2189</v>
      </c>
      <c r="E102" s="4" t="s">
        <v>2190</v>
      </c>
      <c r="F102" s="9">
        <v>4524</v>
      </c>
      <c r="G102" s="4" t="s">
        <v>2091</v>
      </c>
      <c r="H102" s="4" t="s">
        <v>1664</v>
      </c>
      <c r="I102" s="9">
        <v>0</v>
      </c>
      <c r="J102" s="9">
        <v>2</v>
      </c>
      <c r="K102" s="4" t="s">
        <v>85</v>
      </c>
      <c r="L102" s="4" t="s">
        <v>1837</v>
      </c>
    </row>
    <row r="103" spans="1:12" ht="102" customHeight="1">
      <c r="A103" s="3" t="s">
        <v>2191</v>
      </c>
      <c r="B103" s="3" t="s">
        <v>2192</v>
      </c>
      <c r="C103" s="3" t="s">
        <v>1465</v>
      </c>
      <c r="D103" s="3" t="s">
        <v>2193</v>
      </c>
      <c r="E103" s="3" t="s">
        <v>2194</v>
      </c>
      <c r="F103" s="8">
        <v>4453</v>
      </c>
      <c r="G103" s="3" t="s">
        <v>1641</v>
      </c>
      <c r="H103" s="3" t="s">
        <v>1642</v>
      </c>
      <c r="I103" s="8">
        <v>0</v>
      </c>
      <c r="J103" s="8">
        <v>1</v>
      </c>
      <c r="K103" s="3" t="s">
        <v>85</v>
      </c>
      <c r="L103" s="3" t="s">
        <v>1837</v>
      </c>
    </row>
    <row r="104" spans="1:12" ht="30" customHeight="1">
      <c r="A104" s="4" t="s">
        <v>2195</v>
      </c>
      <c r="B104" s="4" t="s">
        <v>2196</v>
      </c>
      <c r="C104" s="4" t="s">
        <v>1465</v>
      </c>
      <c r="D104" s="4" t="s">
        <v>2197</v>
      </c>
      <c r="E104" s="4" t="s">
        <v>2198</v>
      </c>
      <c r="F104" s="9">
        <v>4021</v>
      </c>
      <c r="G104" s="4" t="s">
        <v>1787</v>
      </c>
      <c r="H104" s="4" t="s">
        <v>1642</v>
      </c>
      <c r="I104" s="9">
        <v>0</v>
      </c>
      <c r="J104" s="9">
        <v>13</v>
      </c>
      <c r="K104" s="4" t="s">
        <v>85</v>
      </c>
      <c r="L104" s="4" t="s">
        <v>1837</v>
      </c>
    </row>
    <row r="105" spans="1:12" ht="48" customHeight="1">
      <c r="A105" s="3" t="s">
        <v>2199</v>
      </c>
      <c r="B105" s="3" t="s">
        <v>2200</v>
      </c>
      <c r="C105" s="3" t="s">
        <v>1465</v>
      </c>
      <c r="D105" s="3" t="s">
        <v>1855</v>
      </c>
      <c r="E105" s="3" t="s">
        <v>1856</v>
      </c>
      <c r="F105" s="8">
        <v>3976</v>
      </c>
      <c r="G105" s="3" t="s">
        <v>1857</v>
      </c>
      <c r="H105" s="3" t="s">
        <v>1642</v>
      </c>
      <c r="I105" s="8">
        <v>0</v>
      </c>
      <c r="J105" s="8">
        <v>2</v>
      </c>
      <c r="K105" s="3" t="s">
        <v>85</v>
      </c>
      <c r="L105" s="3" t="s">
        <v>1837</v>
      </c>
    </row>
    <row r="106" spans="1:12" ht="48" customHeight="1">
      <c r="A106" s="4" t="s">
        <v>2201</v>
      </c>
      <c r="B106" s="4" t="s">
        <v>2202</v>
      </c>
      <c r="C106" s="4" t="s">
        <v>1465</v>
      </c>
      <c r="D106" s="4" t="s">
        <v>2203</v>
      </c>
      <c r="E106" s="4" t="s">
        <v>2204</v>
      </c>
      <c r="F106" s="9">
        <v>3821</v>
      </c>
      <c r="G106" s="4" t="s">
        <v>1668</v>
      </c>
      <c r="H106" s="4" t="s">
        <v>1642</v>
      </c>
      <c r="I106" s="9">
        <v>0</v>
      </c>
      <c r="J106" s="9">
        <v>3</v>
      </c>
      <c r="K106" s="4" t="s">
        <v>85</v>
      </c>
      <c r="L106" s="4" t="s">
        <v>1837</v>
      </c>
    </row>
    <row r="107" spans="1:12" ht="48" customHeight="1">
      <c r="A107" s="3" t="s">
        <v>2205</v>
      </c>
      <c r="B107" s="3" t="s">
        <v>2206</v>
      </c>
      <c r="C107" s="3" t="s">
        <v>1465</v>
      </c>
      <c r="D107" s="3" t="s">
        <v>2207</v>
      </c>
      <c r="E107" s="3" t="s">
        <v>2208</v>
      </c>
      <c r="F107" s="8">
        <v>3634</v>
      </c>
      <c r="G107" s="3" t="s">
        <v>2209</v>
      </c>
      <c r="H107" s="3" t="s">
        <v>1642</v>
      </c>
      <c r="I107" s="8">
        <v>0</v>
      </c>
      <c r="J107" s="8">
        <v>7</v>
      </c>
      <c r="K107" s="3" t="s">
        <v>85</v>
      </c>
      <c r="L107" s="3" t="s">
        <v>1837</v>
      </c>
    </row>
    <row r="108" spans="1:12" ht="48" customHeight="1">
      <c r="A108" s="4" t="s">
        <v>2210</v>
      </c>
      <c r="B108" s="4" t="s">
        <v>2211</v>
      </c>
      <c r="C108" s="4" t="s">
        <v>1465</v>
      </c>
      <c r="D108" s="4" t="s">
        <v>2212</v>
      </c>
      <c r="E108" s="4" t="s">
        <v>2213</v>
      </c>
      <c r="F108" s="9">
        <v>3482</v>
      </c>
      <c r="G108" s="4" t="s">
        <v>2214</v>
      </c>
      <c r="H108" s="4" t="s">
        <v>1642</v>
      </c>
      <c r="I108" s="9">
        <v>0</v>
      </c>
      <c r="J108" s="9">
        <v>3</v>
      </c>
      <c r="K108" s="4" t="s">
        <v>85</v>
      </c>
      <c r="L108" s="4" t="s">
        <v>1837</v>
      </c>
    </row>
    <row r="109" spans="1:12" ht="48" customHeight="1">
      <c r="A109" s="3" t="s">
        <v>2215</v>
      </c>
      <c r="B109" s="3" t="s">
        <v>2216</v>
      </c>
      <c r="C109" s="3" t="s">
        <v>1465</v>
      </c>
      <c r="D109" s="3" t="s">
        <v>2217</v>
      </c>
      <c r="E109" s="3" t="s">
        <v>2218</v>
      </c>
      <c r="F109" s="8">
        <v>2952</v>
      </c>
      <c r="G109" s="3" t="s">
        <v>1823</v>
      </c>
      <c r="H109" s="3" t="s">
        <v>1664</v>
      </c>
      <c r="I109" s="8">
        <v>0</v>
      </c>
      <c r="J109" s="8">
        <v>2</v>
      </c>
      <c r="K109" s="3" t="s">
        <v>85</v>
      </c>
      <c r="L109" s="3" t="s">
        <v>1837</v>
      </c>
    </row>
    <row r="110" spans="1:12" ht="48" customHeight="1">
      <c r="A110" s="4" t="s">
        <v>2219</v>
      </c>
      <c r="B110" s="4" t="s">
        <v>2220</v>
      </c>
      <c r="C110" s="4" t="s">
        <v>1465</v>
      </c>
      <c r="D110" s="4" t="s">
        <v>1785</v>
      </c>
      <c r="E110" s="4" t="s">
        <v>1786</v>
      </c>
      <c r="F110" s="9">
        <v>2848</v>
      </c>
      <c r="G110" s="4" t="s">
        <v>1787</v>
      </c>
      <c r="H110" s="4" t="s">
        <v>1642</v>
      </c>
      <c r="I110" s="9">
        <v>0</v>
      </c>
      <c r="J110" s="9">
        <v>6</v>
      </c>
      <c r="K110" s="4" t="s">
        <v>85</v>
      </c>
      <c r="L110" s="4" t="s">
        <v>1837</v>
      </c>
    </row>
    <row r="111" spans="1:12" ht="48" customHeight="1">
      <c r="A111" s="3" t="s">
        <v>2221</v>
      </c>
      <c r="B111" s="3" t="s">
        <v>2222</v>
      </c>
      <c r="C111" s="3" t="s">
        <v>1465</v>
      </c>
      <c r="D111" s="3" t="s">
        <v>2223</v>
      </c>
      <c r="E111" s="3" t="s">
        <v>2224</v>
      </c>
      <c r="F111" s="8">
        <v>2834</v>
      </c>
      <c r="G111" s="3" t="s">
        <v>2225</v>
      </c>
      <c r="H111" s="3" t="s">
        <v>1664</v>
      </c>
      <c r="I111" s="8">
        <v>0</v>
      </c>
      <c r="J111" s="8">
        <v>1</v>
      </c>
      <c r="K111" s="3" t="s">
        <v>85</v>
      </c>
      <c r="L111" s="3" t="s">
        <v>1837</v>
      </c>
    </row>
    <row r="112" spans="1:12" ht="30" customHeight="1">
      <c r="A112" s="4" t="s">
        <v>2226</v>
      </c>
      <c r="B112" s="4" t="s">
        <v>2227</v>
      </c>
      <c r="C112" s="4" t="s">
        <v>1465</v>
      </c>
      <c r="D112" s="4" t="s">
        <v>2228</v>
      </c>
      <c r="E112" s="4" t="s">
        <v>2229</v>
      </c>
      <c r="F112" s="9">
        <v>2775</v>
      </c>
      <c r="G112" s="4" t="s">
        <v>1865</v>
      </c>
      <c r="H112" s="4" t="s">
        <v>1642</v>
      </c>
      <c r="I112" s="9">
        <v>0</v>
      </c>
      <c r="J112" s="9">
        <v>2</v>
      </c>
      <c r="K112" s="4" t="s">
        <v>85</v>
      </c>
      <c r="L112" s="4" t="s">
        <v>1837</v>
      </c>
    </row>
    <row r="113" spans="1:12" ht="66" customHeight="1">
      <c r="A113" s="3" t="s">
        <v>2230</v>
      </c>
      <c r="B113" s="3" t="s">
        <v>2231</v>
      </c>
      <c r="C113" s="3" t="s">
        <v>1465</v>
      </c>
      <c r="D113" s="3" t="s">
        <v>2232</v>
      </c>
      <c r="E113" s="3" t="s">
        <v>2233</v>
      </c>
      <c r="F113" s="8">
        <v>2767</v>
      </c>
      <c r="G113" s="3" t="s">
        <v>1865</v>
      </c>
      <c r="H113" s="3" t="s">
        <v>1642</v>
      </c>
      <c r="I113" s="8">
        <v>0</v>
      </c>
      <c r="J113" s="8">
        <v>2</v>
      </c>
      <c r="K113" s="3" t="s">
        <v>85</v>
      </c>
      <c r="L113" s="3" t="s">
        <v>1837</v>
      </c>
    </row>
    <row r="114" spans="1:12" ht="30" customHeight="1">
      <c r="A114" s="4" t="s">
        <v>2234</v>
      </c>
      <c r="B114" s="4" t="s">
        <v>2235</v>
      </c>
      <c r="C114" s="4" t="s">
        <v>1465</v>
      </c>
      <c r="D114" s="4" t="s">
        <v>2236</v>
      </c>
      <c r="E114" s="4" t="s">
        <v>2237</v>
      </c>
      <c r="F114" s="9">
        <v>2652</v>
      </c>
      <c r="G114" s="4" t="s">
        <v>1681</v>
      </c>
      <c r="H114" s="4" t="s">
        <v>1664</v>
      </c>
      <c r="I114" s="9">
        <v>0</v>
      </c>
      <c r="J114" s="9">
        <v>6</v>
      </c>
      <c r="K114" s="4" t="s">
        <v>85</v>
      </c>
      <c r="L114" s="4" t="s">
        <v>1837</v>
      </c>
    </row>
    <row r="115" spans="1:12" ht="48" customHeight="1">
      <c r="A115" s="3" t="s">
        <v>2238</v>
      </c>
      <c r="B115" s="3" t="s">
        <v>2239</v>
      </c>
      <c r="C115" s="3" t="s">
        <v>1465</v>
      </c>
      <c r="D115" s="3" t="s">
        <v>2240</v>
      </c>
      <c r="E115" s="3" t="s">
        <v>2241</v>
      </c>
      <c r="F115" s="8">
        <v>2626</v>
      </c>
      <c r="G115" s="3" t="s">
        <v>1690</v>
      </c>
      <c r="H115" s="3" t="s">
        <v>1642</v>
      </c>
      <c r="I115" s="8">
        <v>0</v>
      </c>
      <c r="J115" s="8">
        <v>10</v>
      </c>
      <c r="K115" s="3" t="s">
        <v>85</v>
      </c>
      <c r="L115" s="3" t="s">
        <v>1837</v>
      </c>
    </row>
    <row r="116" spans="1:12" ht="48" customHeight="1">
      <c r="A116" s="4" t="s">
        <v>2242</v>
      </c>
      <c r="B116" s="4" t="s">
        <v>2243</v>
      </c>
      <c r="C116" s="4" t="s">
        <v>1465</v>
      </c>
      <c r="D116" s="4" t="s">
        <v>2244</v>
      </c>
      <c r="E116" s="4" t="s">
        <v>2245</v>
      </c>
      <c r="F116" s="9">
        <v>2620</v>
      </c>
      <c r="G116" s="4" t="s">
        <v>1690</v>
      </c>
      <c r="H116" s="4" t="s">
        <v>1642</v>
      </c>
      <c r="I116" s="9">
        <v>0</v>
      </c>
      <c r="J116" s="9">
        <v>5</v>
      </c>
      <c r="K116" s="4" t="s">
        <v>85</v>
      </c>
      <c r="L116" s="4" t="s">
        <v>1837</v>
      </c>
    </row>
    <row r="117" spans="1:12" ht="48" customHeight="1">
      <c r="A117" s="3" t="s">
        <v>2246</v>
      </c>
      <c r="B117" s="3" t="s">
        <v>2247</v>
      </c>
      <c r="C117" s="3" t="s">
        <v>1465</v>
      </c>
      <c r="D117" s="3" t="s">
        <v>2248</v>
      </c>
      <c r="E117" s="3" t="s">
        <v>2249</v>
      </c>
      <c r="F117" s="8">
        <v>2619</v>
      </c>
      <c r="G117" s="3" t="s">
        <v>1690</v>
      </c>
      <c r="H117" s="3" t="s">
        <v>1642</v>
      </c>
      <c r="I117" s="8">
        <v>0</v>
      </c>
      <c r="J117" s="8">
        <v>7</v>
      </c>
      <c r="K117" s="3" t="s">
        <v>85</v>
      </c>
      <c r="L117" s="3" t="s">
        <v>1837</v>
      </c>
    </row>
    <row r="118" spans="1:12" ht="30" customHeight="1">
      <c r="A118" s="4" t="s">
        <v>2250</v>
      </c>
      <c r="B118" s="4" t="s">
        <v>2251</v>
      </c>
      <c r="C118" s="4" t="s">
        <v>1465</v>
      </c>
      <c r="D118" s="4" t="s">
        <v>2252</v>
      </c>
      <c r="E118" s="4" t="s">
        <v>2253</v>
      </c>
      <c r="F118" s="9">
        <v>2618</v>
      </c>
      <c r="G118" s="4" t="s">
        <v>1690</v>
      </c>
      <c r="H118" s="4" t="s">
        <v>1642</v>
      </c>
      <c r="I118" s="9">
        <v>0</v>
      </c>
      <c r="J118" s="9">
        <v>2</v>
      </c>
      <c r="K118" s="4" t="s">
        <v>85</v>
      </c>
      <c r="L118" s="4" t="s">
        <v>1837</v>
      </c>
    </row>
    <row r="119" spans="1:12" ht="48" customHeight="1">
      <c r="A119" s="3" t="s">
        <v>2254</v>
      </c>
      <c r="B119" s="3" t="s">
        <v>2255</v>
      </c>
      <c r="C119" s="3" t="s">
        <v>1465</v>
      </c>
      <c r="D119" s="3" t="s">
        <v>2256</v>
      </c>
      <c r="E119" s="3" t="s">
        <v>2257</v>
      </c>
      <c r="F119" s="8">
        <v>2597</v>
      </c>
      <c r="G119" s="3" t="s">
        <v>2258</v>
      </c>
      <c r="H119" s="3" t="s">
        <v>1642</v>
      </c>
      <c r="I119" s="8">
        <v>0</v>
      </c>
      <c r="J119" s="8">
        <v>9</v>
      </c>
      <c r="K119" s="3" t="s">
        <v>85</v>
      </c>
      <c r="L119" s="3" t="s">
        <v>1837</v>
      </c>
    </row>
    <row r="120" spans="1:12" ht="30" customHeight="1">
      <c r="A120" s="4" t="s">
        <v>2259</v>
      </c>
      <c r="B120" s="4" t="s">
        <v>2260</v>
      </c>
      <c r="C120" s="4" t="s">
        <v>1465</v>
      </c>
      <c r="D120" s="4" t="s">
        <v>2261</v>
      </c>
      <c r="E120" s="4" t="s">
        <v>2262</v>
      </c>
      <c r="F120" s="9">
        <v>2553</v>
      </c>
      <c r="G120" s="4" t="s">
        <v>2263</v>
      </c>
      <c r="H120" s="4" t="s">
        <v>1642</v>
      </c>
      <c r="I120" s="9">
        <v>0</v>
      </c>
      <c r="J120" s="9">
        <v>30</v>
      </c>
      <c r="K120" s="4" t="s">
        <v>85</v>
      </c>
      <c r="L120" s="4" t="s">
        <v>1837</v>
      </c>
    </row>
    <row r="121" spans="1:12" ht="30" customHeight="1">
      <c r="A121" s="3" t="s">
        <v>2264</v>
      </c>
      <c r="B121" s="3" t="s">
        <v>2265</v>
      </c>
      <c r="C121" s="3" t="s">
        <v>1465</v>
      </c>
      <c r="D121" s="3" t="s">
        <v>2266</v>
      </c>
      <c r="E121" s="3" t="s">
        <v>2267</v>
      </c>
      <c r="F121" s="8">
        <v>2538</v>
      </c>
      <c r="G121" s="3" t="s">
        <v>1684</v>
      </c>
      <c r="H121" s="3" t="s">
        <v>1642</v>
      </c>
      <c r="I121" s="8">
        <v>0</v>
      </c>
      <c r="J121" s="8">
        <v>5</v>
      </c>
      <c r="K121" s="3" t="s">
        <v>85</v>
      </c>
      <c r="L121" s="3" t="s">
        <v>1837</v>
      </c>
    </row>
    <row r="122" spans="1:12" ht="30" customHeight="1">
      <c r="A122" s="4" t="s">
        <v>2268</v>
      </c>
      <c r="B122" s="4" t="s">
        <v>2269</v>
      </c>
      <c r="C122" s="4" t="s">
        <v>1465</v>
      </c>
      <c r="D122" s="4" t="s">
        <v>2270</v>
      </c>
      <c r="E122" s="4" t="s">
        <v>2271</v>
      </c>
      <c r="F122" s="9">
        <v>2537</v>
      </c>
      <c r="G122" s="4" t="s">
        <v>1684</v>
      </c>
      <c r="H122" s="4" t="s">
        <v>1642</v>
      </c>
      <c r="I122" s="9">
        <v>0</v>
      </c>
      <c r="J122" s="9">
        <v>12</v>
      </c>
      <c r="K122" s="4" t="s">
        <v>85</v>
      </c>
      <c r="L122" s="4" t="s">
        <v>1837</v>
      </c>
    </row>
    <row r="123" spans="1:12" ht="48" customHeight="1">
      <c r="A123" s="3" t="s">
        <v>2272</v>
      </c>
      <c r="B123" s="3" t="s">
        <v>2273</v>
      </c>
      <c r="C123" s="3" t="s">
        <v>1465</v>
      </c>
      <c r="D123" s="3" t="s">
        <v>2274</v>
      </c>
      <c r="E123" s="3" t="s">
        <v>2275</v>
      </c>
      <c r="F123" s="8">
        <v>2536</v>
      </c>
      <c r="G123" s="3" t="s">
        <v>1684</v>
      </c>
      <c r="H123" s="3" t="s">
        <v>1642</v>
      </c>
      <c r="I123" s="8">
        <v>0</v>
      </c>
      <c r="J123" s="8">
        <v>3</v>
      </c>
      <c r="K123" s="3" t="s">
        <v>85</v>
      </c>
      <c r="L123" s="3" t="s">
        <v>1837</v>
      </c>
    </row>
    <row r="124" spans="1:12" ht="48" customHeight="1">
      <c r="A124" s="4" t="s">
        <v>2276</v>
      </c>
      <c r="B124" s="4" t="s">
        <v>2277</v>
      </c>
      <c r="C124" s="4" t="s">
        <v>1465</v>
      </c>
      <c r="D124" s="4" t="s">
        <v>2278</v>
      </c>
      <c r="E124" s="4" t="s">
        <v>2279</v>
      </c>
      <c r="F124" s="9">
        <v>2535</v>
      </c>
      <c r="G124" s="4" t="s">
        <v>1684</v>
      </c>
      <c r="H124" s="4" t="s">
        <v>1642</v>
      </c>
      <c r="I124" s="9">
        <v>0</v>
      </c>
      <c r="J124" s="9">
        <v>2</v>
      </c>
      <c r="K124" s="4" t="s">
        <v>85</v>
      </c>
      <c r="L124" s="4" t="s">
        <v>1837</v>
      </c>
    </row>
    <row r="125" spans="1:12" ht="48" customHeight="1">
      <c r="A125" s="3" t="s">
        <v>2280</v>
      </c>
      <c r="B125" s="3" t="s">
        <v>2281</v>
      </c>
      <c r="C125" s="3" t="s">
        <v>1465</v>
      </c>
      <c r="D125" s="3" t="s">
        <v>608</v>
      </c>
      <c r="E125" s="3" t="s">
        <v>1888</v>
      </c>
      <c r="F125" s="8">
        <v>2535</v>
      </c>
      <c r="G125" s="3" t="s">
        <v>1684</v>
      </c>
      <c r="H125" s="3" t="s">
        <v>1642</v>
      </c>
      <c r="I125" s="8">
        <v>0</v>
      </c>
      <c r="J125" s="8">
        <v>2</v>
      </c>
      <c r="K125" s="3" t="s">
        <v>85</v>
      </c>
      <c r="L125" s="3" t="s">
        <v>1837</v>
      </c>
    </row>
    <row r="126" spans="1:12" ht="30" customHeight="1">
      <c r="A126" s="4" t="s">
        <v>2282</v>
      </c>
      <c r="B126" s="4" t="s">
        <v>2283</v>
      </c>
      <c r="C126" s="4" t="s">
        <v>1465</v>
      </c>
      <c r="D126" s="4" t="s">
        <v>2284</v>
      </c>
      <c r="E126" s="4" t="s">
        <v>2285</v>
      </c>
      <c r="F126" s="9">
        <v>2534</v>
      </c>
      <c r="G126" s="4" t="s">
        <v>1684</v>
      </c>
      <c r="H126" s="4" t="s">
        <v>1642</v>
      </c>
      <c r="I126" s="9">
        <v>0</v>
      </c>
      <c r="J126" s="9">
        <v>1</v>
      </c>
      <c r="K126" s="4" t="s">
        <v>85</v>
      </c>
      <c r="L126" s="4" t="s">
        <v>1837</v>
      </c>
    </row>
    <row r="127" spans="1:12" ht="30" customHeight="1">
      <c r="A127" s="3" t="s">
        <v>2286</v>
      </c>
      <c r="B127" s="3" t="s">
        <v>2287</v>
      </c>
      <c r="C127" s="3" t="s">
        <v>1465</v>
      </c>
      <c r="D127" s="3" t="s">
        <v>739</v>
      </c>
      <c r="E127" s="3" t="s">
        <v>1890</v>
      </c>
      <c r="F127" s="8">
        <v>2533</v>
      </c>
      <c r="G127" s="3" t="s">
        <v>1684</v>
      </c>
      <c r="H127" s="3" t="s">
        <v>1642</v>
      </c>
      <c r="I127" s="8">
        <v>0</v>
      </c>
      <c r="J127" s="8">
        <v>1</v>
      </c>
      <c r="K127" s="3" t="s">
        <v>85</v>
      </c>
      <c r="L127" s="3" t="s">
        <v>1837</v>
      </c>
    </row>
    <row r="128" spans="1:12" ht="48" customHeight="1">
      <c r="A128" s="4" t="s">
        <v>2288</v>
      </c>
      <c r="B128" s="4" t="s">
        <v>2289</v>
      </c>
      <c r="C128" s="4" t="s">
        <v>1465</v>
      </c>
      <c r="D128" s="4" t="s">
        <v>2290</v>
      </c>
      <c r="E128" s="4" t="s">
        <v>2291</v>
      </c>
      <c r="F128" s="9">
        <v>2523</v>
      </c>
      <c r="G128" s="4" t="s">
        <v>1684</v>
      </c>
      <c r="H128" s="4" t="s">
        <v>1642</v>
      </c>
      <c r="I128" s="9">
        <v>0</v>
      </c>
      <c r="J128" s="9">
        <v>6</v>
      </c>
      <c r="K128" s="4" t="s">
        <v>85</v>
      </c>
      <c r="L128" s="4" t="s">
        <v>1837</v>
      </c>
    </row>
    <row r="129" spans="1:12" ht="30" customHeight="1">
      <c r="A129" s="3" t="s">
        <v>2292</v>
      </c>
      <c r="B129" s="3" t="s">
        <v>2293</v>
      </c>
      <c r="C129" s="3" t="s">
        <v>1465</v>
      </c>
      <c r="D129" s="3" t="s">
        <v>2294</v>
      </c>
      <c r="E129" s="3" t="s">
        <v>2295</v>
      </c>
      <c r="F129" s="8">
        <v>2439</v>
      </c>
      <c r="G129" s="3" t="s">
        <v>1778</v>
      </c>
      <c r="H129" s="3" t="s">
        <v>1642</v>
      </c>
      <c r="I129" s="8">
        <v>0</v>
      </c>
      <c r="J129" s="8">
        <v>3</v>
      </c>
      <c r="K129" s="3" t="s">
        <v>85</v>
      </c>
      <c r="L129" s="3" t="s">
        <v>1837</v>
      </c>
    </row>
    <row r="130" spans="1:12" ht="30" customHeight="1">
      <c r="A130" s="4" t="s">
        <v>2296</v>
      </c>
      <c r="B130" s="4" t="s">
        <v>2297</v>
      </c>
      <c r="C130" s="4" t="s">
        <v>1465</v>
      </c>
      <c r="D130" s="4" t="s">
        <v>2298</v>
      </c>
      <c r="E130" s="4" t="s">
        <v>2299</v>
      </c>
      <c r="F130" s="9">
        <v>2435</v>
      </c>
      <c r="G130" s="4" t="s">
        <v>1778</v>
      </c>
      <c r="H130" s="4" t="s">
        <v>1642</v>
      </c>
      <c r="I130" s="9">
        <v>0</v>
      </c>
      <c r="J130" s="9">
        <v>1</v>
      </c>
      <c r="K130" s="4" t="s">
        <v>85</v>
      </c>
      <c r="L130" s="4" t="s">
        <v>1837</v>
      </c>
    </row>
    <row r="131" spans="1:12" ht="30" customHeight="1">
      <c r="A131" s="3" t="s">
        <v>2300</v>
      </c>
      <c r="B131" s="3" t="s">
        <v>2301</v>
      </c>
      <c r="C131" s="3" t="s">
        <v>1465</v>
      </c>
      <c r="D131" s="3" t="s">
        <v>1776</v>
      </c>
      <c r="E131" s="3" t="s">
        <v>1777</v>
      </c>
      <c r="F131" s="8">
        <v>2428</v>
      </c>
      <c r="G131" s="3" t="s">
        <v>1778</v>
      </c>
      <c r="H131" s="3" t="s">
        <v>1642</v>
      </c>
      <c r="I131" s="8">
        <v>0</v>
      </c>
      <c r="J131" s="8">
        <v>8</v>
      </c>
      <c r="K131" s="3" t="s">
        <v>85</v>
      </c>
      <c r="L131" s="3" t="s">
        <v>1837</v>
      </c>
    </row>
    <row r="132" spans="1:12" ht="48" customHeight="1">
      <c r="A132" s="4" t="s">
        <v>2302</v>
      </c>
      <c r="B132" s="4" t="s">
        <v>2303</v>
      </c>
      <c r="C132" s="4" t="s">
        <v>1465</v>
      </c>
      <c r="D132" s="4" t="s">
        <v>2304</v>
      </c>
      <c r="E132" s="4" t="s">
        <v>2305</v>
      </c>
      <c r="F132" s="9">
        <v>2217</v>
      </c>
      <c r="G132" s="4" t="s">
        <v>1778</v>
      </c>
      <c r="H132" s="4" t="s">
        <v>1642</v>
      </c>
      <c r="I132" s="9">
        <v>0</v>
      </c>
      <c r="J132" s="9">
        <v>1</v>
      </c>
      <c r="K132" s="4" t="s">
        <v>85</v>
      </c>
      <c r="L132" s="4" t="s">
        <v>1837</v>
      </c>
    </row>
    <row r="133" spans="1:12" ht="30" customHeight="1">
      <c r="A133" s="3" t="s">
        <v>2306</v>
      </c>
      <c r="B133" s="3" t="s">
        <v>2307</v>
      </c>
      <c r="C133" s="3" t="s">
        <v>1465</v>
      </c>
      <c r="D133" s="3" t="s">
        <v>2308</v>
      </c>
      <c r="E133" s="3" t="s">
        <v>2309</v>
      </c>
      <c r="F133" s="8">
        <v>2217</v>
      </c>
      <c r="G133" s="3" t="s">
        <v>2310</v>
      </c>
      <c r="H133" s="3" t="s">
        <v>1642</v>
      </c>
      <c r="I133" s="8">
        <v>0</v>
      </c>
      <c r="J133" s="8">
        <v>2</v>
      </c>
      <c r="K133" s="3" t="s">
        <v>85</v>
      </c>
      <c r="L133" s="3" t="s">
        <v>1837</v>
      </c>
    </row>
    <row r="134" spans="1:12" ht="30" customHeight="1">
      <c r="A134" s="4" t="s">
        <v>2311</v>
      </c>
      <c r="B134" s="4" t="s">
        <v>2312</v>
      </c>
      <c r="C134" s="4" t="s">
        <v>1465</v>
      </c>
      <c r="D134" s="4" t="s">
        <v>2313</v>
      </c>
      <c r="E134" s="4" t="s">
        <v>2314</v>
      </c>
      <c r="F134" s="9">
        <v>2195</v>
      </c>
      <c r="G134" s="4" t="s">
        <v>2315</v>
      </c>
      <c r="H134" s="4" t="s">
        <v>1642</v>
      </c>
      <c r="I134" s="9">
        <v>0</v>
      </c>
      <c r="J134" s="9">
        <v>6</v>
      </c>
      <c r="K134" s="4" t="s">
        <v>85</v>
      </c>
      <c r="L134" s="4" t="s">
        <v>1837</v>
      </c>
    </row>
    <row r="135" spans="1:12" ht="30" customHeight="1">
      <c r="A135" s="3" t="s">
        <v>2316</v>
      </c>
      <c r="B135" s="3" t="s">
        <v>2317</v>
      </c>
      <c r="C135" s="3" t="s">
        <v>1465</v>
      </c>
      <c r="D135" s="3" t="s">
        <v>2318</v>
      </c>
      <c r="E135" s="3" t="s">
        <v>2319</v>
      </c>
      <c r="F135" s="8">
        <v>2175</v>
      </c>
      <c r="G135" s="3" t="s">
        <v>2320</v>
      </c>
      <c r="H135" s="3" t="s">
        <v>1664</v>
      </c>
      <c r="I135" s="8">
        <v>0</v>
      </c>
      <c r="J135" s="8">
        <v>7</v>
      </c>
      <c r="K135" s="3" t="s">
        <v>85</v>
      </c>
      <c r="L135" s="3" t="s">
        <v>1837</v>
      </c>
    </row>
    <row r="136" spans="1:12" ht="48" customHeight="1">
      <c r="A136" s="4" t="s">
        <v>2321</v>
      </c>
      <c r="B136" s="4" t="s">
        <v>2322</v>
      </c>
      <c r="C136" s="4" t="s">
        <v>1465</v>
      </c>
      <c r="D136" s="4" t="s">
        <v>2323</v>
      </c>
      <c r="E136" s="4" t="s">
        <v>2324</v>
      </c>
      <c r="F136" s="9">
        <v>2078</v>
      </c>
      <c r="G136" s="4" t="s">
        <v>1900</v>
      </c>
      <c r="H136" s="4" t="s">
        <v>1642</v>
      </c>
      <c r="I136" s="9">
        <v>0</v>
      </c>
      <c r="J136" s="9">
        <v>1</v>
      </c>
      <c r="K136" s="4" t="s">
        <v>85</v>
      </c>
      <c r="L136" s="4" t="s">
        <v>1837</v>
      </c>
    </row>
    <row r="137" spans="1:12" ht="48" customHeight="1">
      <c r="A137" s="3" t="s">
        <v>2325</v>
      </c>
      <c r="B137" s="3" t="s">
        <v>2326</v>
      </c>
      <c r="C137" s="3" t="s">
        <v>1465</v>
      </c>
      <c r="D137" s="3" t="s">
        <v>2327</v>
      </c>
      <c r="E137" s="3" t="s">
        <v>2328</v>
      </c>
      <c r="F137" s="8">
        <v>1913</v>
      </c>
      <c r="G137" s="3" t="s">
        <v>1681</v>
      </c>
      <c r="H137" s="3" t="s">
        <v>1664</v>
      </c>
      <c r="I137" s="8">
        <v>0</v>
      </c>
      <c r="J137" s="8">
        <v>1</v>
      </c>
      <c r="K137" s="3" t="s">
        <v>85</v>
      </c>
      <c r="L137" s="3" t="s">
        <v>1837</v>
      </c>
    </row>
    <row r="138" spans="1:12" ht="48" customHeight="1">
      <c r="A138" s="4" t="s">
        <v>2329</v>
      </c>
      <c r="B138" s="4" t="s">
        <v>2330</v>
      </c>
      <c r="C138" s="4" t="s">
        <v>1465</v>
      </c>
      <c r="D138" s="4" t="s">
        <v>2331</v>
      </c>
      <c r="E138" s="4" t="s">
        <v>2332</v>
      </c>
      <c r="F138" s="9">
        <v>1599</v>
      </c>
      <c r="G138" s="4" t="s">
        <v>2333</v>
      </c>
      <c r="H138" s="4" t="s">
        <v>1664</v>
      </c>
      <c r="I138" s="9">
        <v>0</v>
      </c>
      <c r="J138" s="9">
        <v>1</v>
      </c>
      <c r="K138" s="4" t="s">
        <v>85</v>
      </c>
      <c r="L138" s="4" t="s">
        <v>1837</v>
      </c>
    </row>
    <row r="139" spans="1:12" ht="48" customHeight="1">
      <c r="A139" s="3" t="s">
        <v>2334</v>
      </c>
      <c r="B139" s="3" t="s">
        <v>2335</v>
      </c>
      <c r="C139" s="3" t="s">
        <v>1465</v>
      </c>
      <c r="D139" s="3" t="s">
        <v>2336</v>
      </c>
      <c r="E139" s="3" t="s">
        <v>2337</v>
      </c>
      <c r="F139" s="8">
        <v>1594</v>
      </c>
      <c r="G139" s="3" t="s">
        <v>2333</v>
      </c>
      <c r="H139" s="3" t="s">
        <v>1664</v>
      </c>
      <c r="I139" s="8">
        <v>0</v>
      </c>
      <c r="J139" s="8">
        <v>4</v>
      </c>
      <c r="K139" s="3" t="s">
        <v>85</v>
      </c>
      <c r="L139" s="3" t="s">
        <v>1837</v>
      </c>
    </row>
    <row r="140" spans="1:12" ht="48" customHeight="1">
      <c r="A140" s="4" t="s">
        <v>2338</v>
      </c>
      <c r="B140" s="4" t="s">
        <v>2339</v>
      </c>
      <c r="C140" s="4" t="s">
        <v>1465</v>
      </c>
      <c r="D140" s="4" t="s">
        <v>1907</v>
      </c>
      <c r="E140" s="4" t="s">
        <v>1908</v>
      </c>
      <c r="F140" s="9">
        <v>1534</v>
      </c>
      <c r="G140" s="4" t="s">
        <v>1351</v>
      </c>
      <c r="H140" s="4" t="s">
        <v>1664</v>
      </c>
      <c r="I140" s="9">
        <v>0</v>
      </c>
      <c r="J140" s="9">
        <v>2</v>
      </c>
      <c r="K140" s="4" t="s">
        <v>85</v>
      </c>
      <c r="L140" s="4" t="s">
        <v>1837</v>
      </c>
    </row>
    <row r="141" spans="1:12" ht="48" customHeight="1">
      <c r="A141" s="3" t="s">
        <v>2340</v>
      </c>
      <c r="B141" s="3" t="s">
        <v>2341</v>
      </c>
      <c r="C141" s="3" t="s">
        <v>1465</v>
      </c>
      <c r="D141" s="3" t="s">
        <v>2342</v>
      </c>
      <c r="E141" s="3" t="s">
        <v>2343</v>
      </c>
      <c r="F141" s="8">
        <v>1505</v>
      </c>
      <c r="G141" s="3" t="s">
        <v>1354</v>
      </c>
      <c r="H141" s="3" t="s">
        <v>1664</v>
      </c>
      <c r="I141" s="8">
        <v>0</v>
      </c>
      <c r="J141" s="8">
        <v>1</v>
      </c>
      <c r="K141" s="3" t="s">
        <v>85</v>
      </c>
      <c r="L141" s="3" t="s">
        <v>1837</v>
      </c>
    </row>
    <row r="142" spans="1:12" ht="30" customHeight="1">
      <c r="A142" s="4" t="s">
        <v>2344</v>
      </c>
      <c r="B142" s="4" t="s">
        <v>2345</v>
      </c>
      <c r="C142" s="4" t="s">
        <v>1465</v>
      </c>
      <c r="D142" s="4" t="s">
        <v>2346</v>
      </c>
      <c r="E142" s="4" t="s">
        <v>2347</v>
      </c>
      <c r="F142" s="9">
        <v>1478</v>
      </c>
      <c r="G142" s="4" t="s">
        <v>1354</v>
      </c>
      <c r="H142" s="4" t="s">
        <v>1664</v>
      </c>
      <c r="I142" s="9">
        <v>0</v>
      </c>
      <c r="J142" s="9">
        <v>1</v>
      </c>
      <c r="K142" s="4" t="s">
        <v>85</v>
      </c>
      <c r="L142" s="4" t="s">
        <v>1837</v>
      </c>
    </row>
    <row r="143" spans="1:12" ht="30" customHeight="1">
      <c r="A143" s="3" t="s">
        <v>2348</v>
      </c>
      <c r="B143" s="3" t="s">
        <v>2349</v>
      </c>
      <c r="C143" s="3" t="s">
        <v>1465</v>
      </c>
      <c r="D143" s="3" t="s">
        <v>1913</v>
      </c>
      <c r="E143" s="3" t="s">
        <v>1914</v>
      </c>
      <c r="F143" s="8">
        <v>1477</v>
      </c>
      <c r="G143" s="3" t="s">
        <v>1354</v>
      </c>
      <c r="H143" s="3" t="s">
        <v>1664</v>
      </c>
      <c r="I143" s="8">
        <v>0</v>
      </c>
      <c r="J143" s="8">
        <v>2</v>
      </c>
      <c r="K143" s="3" t="s">
        <v>85</v>
      </c>
      <c r="L143" s="3" t="s">
        <v>1837</v>
      </c>
    </row>
    <row r="144" spans="1:12" ht="30" customHeight="1">
      <c r="A144" s="4" t="s">
        <v>2350</v>
      </c>
      <c r="B144" s="4" t="s">
        <v>2351</v>
      </c>
      <c r="C144" s="4" t="s">
        <v>1465</v>
      </c>
      <c r="D144" s="4" t="s">
        <v>2352</v>
      </c>
      <c r="E144" s="4" t="s">
        <v>2353</v>
      </c>
      <c r="F144" s="9">
        <v>1431</v>
      </c>
      <c r="G144" s="4" t="s">
        <v>1356</v>
      </c>
      <c r="H144" s="4" t="s">
        <v>1664</v>
      </c>
      <c r="I144" s="9">
        <v>0</v>
      </c>
      <c r="J144" s="9">
        <v>1</v>
      </c>
      <c r="K144" s="4" t="s">
        <v>85</v>
      </c>
      <c r="L144" s="4" t="s">
        <v>1837</v>
      </c>
    </row>
    <row r="145" spans="1:12" ht="30" customHeight="1">
      <c r="A145" s="3" t="s">
        <v>2354</v>
      </c>
      <c r="B145" s="3" t="s">
        <v>2355</v>
      </c>
      <c r="C145" s="3" t="s">
        <v>1465</v>
      </c>
      <c r="D145" s="3" t="s">
        <v>2356</v>
      </c>
      <c r="E145" s="3" t="s">
        <v>2357</v>
      </c>
      <c r="F145" s="8">
        <v>1431</v>
      </c>
      <c r="G145" s="3" t="s">
        <v>1356</v>
      </c>
      <c r="H145" s="3" t="s">
        <v>1664</v>
      </c>
      <c r="I145" s="8">
        <v>0</v>
      </c>
      <c r="J145" s="8">
        <v>2</v>
      </c>
      <c r="K145" s="3" t="s">
        <v>85</v>
      </c>
      <c r="L145" s="3" t="s">
        <v>1837</v>
      </c>
    </row>
    <row r="146" spans="1:12" ht="48" customHeight="1">
      <c r="A146" s="4" t="s">
        <v>2358</v>
      </c>
      <c r="B146" s="4" t="s">
        <v>2359</v>
      </c>
      <c r="C146" s="4" t="s">
        <v>1465</v>
      </c>
      <c r="D146" s="4" t="s">
        <v>2360</v>
      </c>
      <c r="E146" s="4" t="s">
        <v>2361</v>
      </c>
      <c r="F146" s="9">
        <v>1431</v>
      </c>
      <c r="G146" s="4" t="s">
        <v>1356</v>
      </c>
      <c r="H146" s="4" t="s">
        <v>1664</v>
      </c>
      <c r="I146" s="9">
        <v>0</v>
      </c>
      <c r="J146" s="9">
        <v>4</v>
      </c>
      <c r="K146" s="4" t="s">
        <v>85</v>
      </c>
      <c r="L146" s="4" t="s">
        <v>1837</v>
      </c>
    </row>
    <row r="147" spans="1:12" ht="48" customHeight="1">
      <c r="A147" s="3" t="s">
        <v>2362</v>
      </c>
      <c r="B147" s="3" t="s">
        <v>2363</v>
      </c>
      <c r="C147" s="3" t="s">
        <v>1465</v>
      </c>
      <c r="D147" s="3" t="s">
        <v>2364</v>
      </c>
      <c r="E147" s="3" t="s">
        <v>2365</v>
      </c>
      <c r="F147" s="8">
        <v>1431</v>
      </c>
      <c r="G147" s="3" t="s">
        <v>1356</v>
      </c>
      <c r="H147" s="3" t="s">
        <v>1664</v>
      </c>
      <c r="I147" s="8">
        <v>0</v>
      </c>
      <c r="J147" s="8">
        <v>2</v>
      </c>
      <c r="K147" s="3" t="s">
        <v>85</v>
      </c>
      <c r="L147" s="3" t="s">
        <v>1837</v>
      </c>
    </row>
    <row r="148" spans="1:12" ht="48" customHeight="1">
      <c r="A148" s="4" t="s">
        <v>2366</v>
      </c>
      <c r="B148" s="4" t="s">
        <v>2367</v>
      </c>
      <c r="C148" s="4" t="s">
        <v>1465</v>
      </c>
      <c r="D148" s="4" t="s">
        <v>2368</v>
      </c>
      <c r="E148" s="4" t="s">
        <v>2369</v>
      </c>
      <c r="F148" s="9">
        <v>1431</v>
      </c>
      <c r="G148" s="4" t="s">
        <v>1356</v>
      </c>
      <c r="H148" s="4" t="s">
        <v>1664</v>
      </c>
      <c r="I148" s="9">
        <v>0</v>
      </c>
      <c r="J148" s="9">
        <v>2</v>
      </c>
      <c r="K148" s="4" t="s">
        <v>85</v>
      </c>
      <c r="L148" s="4" t="s">
        <v>1837</v>
      </c>
    </row>
    <row r="149" spans="1:12" ht="48" customHeight="1">
      <c r="A149" s="3" t="s">
        <v>2370</v>
      </c>
      <c r="B149" s="3" t="s">
        <v>2371</v>
      </c>
      <c r="C149" s="3" t="s">
        <v>1465</v>
      </c>
      <c r="D149" s="3" t="s">
        <v>2372</v>
      </c>
      <c r="E149" s="3" t="s">
        <v>2373</v>
      </c>
      <c r="F149" s="8">
        <v>1431</v>
      </c>
      <c r="G149" s="3" t="s">
        <v>1356</v>
      </c>
      <c r="H149" s="3" t="s">
        <v>1664</v>
      </c>
      <c r="I149" s="8">
        <v>0</v>
      </c>
      <c r="J149" s="8">
        <v>3</v>
      </c>
      <c r="K149" s="3" t="s">
        <v>85</v>
      </c>
      <c r="L149" s="3" t="s">
        <v>1837</v>
      </c>
    </row>
    <row r="150" spans="1:12" ht="30" customHeight="1">
      <c r="A150" s="4" t="s">
        <v>2374</v>
      </c>
      <c r="B150" s="4" t="s">
        <v>2375</v>
      </c>
      <c r="C150" s="4" t="s">
        <v>1465</v>
      </c>
      <c r="D150" s="4" t="s">
        <v>2376</v>
      </c>
      <c r="E150" s="4" t="s">
        <v>2377</v>
      </c>
      <c r="F150" s="9">
        <v>1431</v>
      </c>
      <c r="G150" s="4" t="s">
        <v>1356</v>
      </c>
      <c r="H150" s="4" t="s">
        <v>1664</v>
      </c>
      <c r="I150" s="9">
        <v>0</v>
      </c>
      <c r="J150" s="9">
        <v>1</v>
      </c>
      <c r="K150" s="4" t="s">
        <v>85</v>
      </c>
      <c r="L150" s="4" t="s">
        <v>1837</v>
      </c>
    </row>
    <row r="151" spans="1:12" ht="30" customHeight="1">
      <c r="A151" s="3" t="s">
        <v>2378</v>
      </c>
      <c r="B151" s="3" t="s">
        <v>2379</v>
      </c>
      <c r="C151" s="3" t="s">
        <v>1465</v>
      </c>
      <c r="D151" s="3" t="s">
        <v>2380</v>
      </c>
      <c r="E151" s="3" t="s">
        <v>2381</v>
      </c>
      <c r="F151" s="8">
        <v>1431</v>
      </c>
      <c r="G151" s="3" t="s">
        <v>1356</v>
      </c>
      <c r="H151" s="3" t="s">
        <v>1664</v>
      </c>
      <c r="I151" s="8">
        <v>0</v>
      </c>
      <c r="J151" s="8">
        <v>5</v>
      </c>
      <c r="K151" s="3" t="s">
        <v>85</v>
      </c>
      <c r="L151" s="3" t="s">
        <v>1837</v>
      </c>
    </row>
    <row r="152" spans="1:12" ht="48" customHeight="1">
      <c r="A152" s="4" t="s">
        <v>2382</v>
      </c>
      <c r="B152" s="4" t="s">
        <v>2383</v>
      </c>
      <c r="C152" s="4" t="s">
        <v>1465</v>
      </c>
      <c r="D152" s="4" t="s">
        <v>2384</v>
      </c>
      <c r="E152" s="4" t="s">
        <v>2385</v>
      </c>
      <c r="F152" s="9">
        <v>1431</v>
      </c>
      <c r="G152" s="4" t="s">
        <v>1356</v>
      </c>
      <c r="H152" s="4" t="s">
        <v>1664</v>
      </c>
      <c r="I152" s="9">
        <v>0</v>
      </c>
      <c r="J152" s="9">
        <v>3</v>
      </c>
      <c r="K152" s="4" t="s">
        <v>85</v>
      </c>
      <c r="L152" s="4" t="s">
        <v>1837</v>
      </c>
    </row>
    <row r="153" spans="1:12" ht="48" customHeight="1">
      <c r="A153" s="3" t="s">
        <v>2386</v>
      </c>
      <c r="B153" s="3" t="s">
        <v>2387</v>
      </c>
      <c r="C153" s="3" t="s">
        <v>1465</v>
      </c>
      <c r="D153" s="3" t="s">
        <v>2388</v>
      </c>
      <c r="E153" s="3" t="s">
        <v>2389</v>
      </c>
      <c r="F153" s="8">
        <v>1430</v>
      </c>
      <c r="G153" s="3" t="s">
        <v>1356</v>
      </c>
      <c r="H153" s="3" t="s">
        <v>1664</v>
      </c>
      <c r="I153" s="8">
        <v>0</v>
      </c>
      <c r="J153" s="8">
        <v>4</v>
      </c>
      <c r="K153" s="3" t="s">
        <v>85</v>
      </c>
      <c r="L153" s="3" t="s">
        <v>1837</v>
      </c>
    </row>
    <row r="154" spans="1:12" ht="30" customHeight="1">
      <c r="A154" s="4" t="s">
        <v>2390</v>
      </c>
      <c r="B154" s="4" t="s">
        <v>2391</v>
      </c>
      <c r="C154" s="4" t="s">
        <v>1465</v>
      </c>
      <c r="D154" s="4" t="s">
        <v>2392</v>
      </c>
      <c r="E154" s="4" t="s">
        <v>2393</v>
      </c>
      <c r="F154" s="9">
        <v>1427</v>
      </c>
      <c r="G154" s="4" t="s">
        <v>1356</v>
      </c>
      <c r="H154" s="4" t="s">
        <v>1664</v>
      </c>
      <c r="I154" s="9">
        <v>0</v>
      </c>
      <c r="J154" s="9">
        <v>3</v>
      </c>
      <c r="K154" s="4" t="s">
        <v>85</v>
      </c>
      <c r="L154" s="4" t="s">
        <v>1837</v>
      </c>
    </row>
    <row r="155" spans="1:12" ht="30" customHeight="1">
      <c r="A155" s="3" t="s">
        <v>2394</v>
      </c>
      <c r="B155" s="3" t="s">
        <v>2395</v>
      </c>
      <c r="C155" s="3" t="s">
        <v>1465</v>
      </c>
      <c r="D155" s="3" t="s">
        <v>2396</v>
      </c>
      <c r="E155" s="3" t="s">
        <v>2397</v>
      </c>
      <c r="F155" s="8">
        <v>1426</v>
      </c>
      <c r="G155" s="3" t="s">
        <v>1356</v>
      </c>
      <c r="H155" s="3" t="s">
        <v>1664</v>
      </c>
      <c r="I155" s="8">
        <v>0</v>
      </c>
      <c r="J155" s="8">
        <v>1</v>
      </c>
      <c r="K155" s="3" t="s">
        <v>85</v>
      </c>
      <c r="L155" s="3" t="s">
        <v>1837</v>
      </c>
    </row>
    <row r="156" spans="1:12" ht="48" customHeight="1">
      <c r="A156" s="4" t="s">
        <v>2398</v>
      </c>
      <c r="B156" s="4" t="s">
        <v>2399</v>
      </c>
      <c r="C156" s="4" t="s">
        <v>1465</v>
      </c>
      <c r="D156" s="4" t="s">
        <v>2400</v>
      </c>
      <c r="E156" s="4" t="s">
        <v>2401</v>
      </c>
      <c r="F156" s="9">
        <v>1424</v>
      </c>
      <c r="G156" s="4" t="s">
        <v>1356</v>
      </c>
      <c r="H156" s="4" t="s">
        <v>1664</v>
      </c>
      <c r="I156" s="9">
        <v>0</v>
      </c>
      <c r="J156" s="9">
        <v>1</v>
      </c>
      <c r="K156" s="4" t="s">
        <v>85</v>
      </c>
      <c r="L156" s="4" t="s">
        <v>1837</v>
      </c>
    </row>
    <row r="157" spans="1:12" ht="48" customHeight="1">
      <c r="A157" s="3" t="s">
        <v>2402</v>
      </c>
      <c r="B157" s="3" t="s">
        <v>2403</v>
      </c>
      <c r="C157" s="3" t="s">
        <v>1465</v>
      </c>
      <c r="D157" s="3" t="s">
        <v>2400</v>
      </c>
      <c r="E157" s="3" t="s">
        <v>2401</v>
      </c>
      <c r="F157" s="8">
        <v>1424</v>
      </c>
      <c r="G157" s="3" t="s">
        <v>1356</v>
      </c>
      <c r="H157" s="3" t="s">
        <v>1664</v>
      </c>
      <c r="I157" s="8">
        <v>0</v>
      </c>
      <c r="J157" s="8">
        <v>1</v>
      </c>
      <c r="K157" s="3" t="s">
        <v>85</v>
      </c>
      <c r="L157" s="3" t="s">
        <v>1837</v>
      </c>
    </row>
    <row r="158" spans="1:12" ht="48" customHeight="1">
      <c r="A158" s="4" t="s">
        <v>2404</v>
      </c>
      <c r="B158" s="4" t="s">
        <v>2405</v>
      </c>
      <c r="C158" s="4" t="s">
        <v>1465</v>
      </c>
      <c r="D158" s="4" t="s">
        <v>2406</v>
      </c>
      <c r="E158" s="4" t="s">
        <v>2407</v>
      </c>
      <c r="F158" s="9">
        <v>1396</v>
      </c>
      <c r="G158" s="4" t="s">
        <v>1796</v>
      </c>
      <c r="H158" s="4" t="s">
        <v>1664</v>
      </c>
      <c r="I158" s="9">
        <v>0</v>
      </c>
      <c r="J158" s="9">
        <v>2</v>
      </c>
      <c r="K158" s="4" t="s">
        <v>85</v>
      </c>
      <c r="L158" s="4" t="s">
        <v>1837</v>
      </c>
    </row>
    <row r="159" spans="1:12" ht="48" customHeight="1">
      <c r="A159" s="3" t="s">
        <v>2408</v>
      </c>
      <c r="B159" s="3" t="s">
        <v>2409</v>
      </c>
      <c r="C159" s="3" t="s">
        <v>1465</v>
      </c>
      <c r="D159" s="3" t="s">
        <v>2410</v>
      </c>
      <c r="E159" s="3" t="s">
        <v>2411</v>
      </c>
      <c r="F159" s="8">
        <v>1396</v>
      </c>
      <c r="G159" s="3" t="s">
        <v>1796</v>
      </c>
      <c r="H159" s="3" t="s">
        <v>1664</v>
      </c>
      <c r="I159" s="8">
        <v>0</v>
      </c>
      <c r="J159" s="8">
        <v>1</v>
      </c>
      <c r="K159" s="3" t="s">
        <v>85</v>
      </c>
      <c r="L159" s="3" t="s">
        <v>1837</v>
      </c>
    </row>
    <row r="160" spans="1:12" ht="30" customHeight="1">
      <c r="A160" s="4" t="s">
        <v>2412</v>
      </c>
      <c r="B160" s="4" t="s">
        <v>2413</v>
      </c>
      <c r="C160" s="4" t="s">
        <v>1465</v>
      </c>
      <c r="D160" s="4" t="s">
        <v>2414</v>
      </c>
      <c r="E160" s="4" t="s">
        <v>2415</v>
      </c>
      <c r="F160" s="9">
        <v>1396</v>
      </c>
      <c r="G160" s="4" t="s">
        <v>1796</v>
      </c>
      <c r="H160" s="4" t="s">
        <v>1664</v>
      </c>
      <c r="I160" s="9">
        <v>0</v>
      </c>
      <c r="J160" s="9">
        <v>1</v>
      </c>
      <c r="K160" s="4" t="s">
        <v>85</v>
      </c>
      <c r="L160" s="4" t="s">
        <v>1837</v>
      </c>
    </row>
    <row r="161" spans="1:12" ht="48" customHeight="1">
      <c r="A161" s="3" t="s">
        <v>2416</v>
      </c>
      <c r="B161" s="3" t="s">
        <v>2417</v>
      </c>
      <c r="C161" s="3" t="s">
        <v>1465</v>
      </c>
      <c r="D161" s="3" t="s">
        <v>2418</v>
      </c>
      <c r="E161" s="3" t="s">
        <v>2419</v>
      </c>
      <c r="F161" s="8">
        <v>1396</v>
      </c>
      <c r="G161" s="3" t="s">
        <v>1796</v>
      </c>
      <c r="H161" s="3" t="s">
        <v>1664</v>
      </c>
      <c r="I161" s="8">
        <v>0</v>
      </c>
      <c r="J161" s="8">
        <v>1</v>
      </c>
      <c r="K161" s="3" t="s">
        <v>85</v>
      </c>
      <c r="L161" s="3" t="s">
        <v>1837</v>
      </c>
    </row>
    <row r="162" spans="1:12" ht="30" customHeight="1">
      <c r="A162" s="4" t="s">
        <v>2420</v>
      </c>
      <c r="B162" s="4" t="s">
        <v>2421</v>
      </c>
      <c r="C162" s="4" t="s">
        <v>1465</v>
      </c>
      <c r="D162" s="4" t="s">
        <v>2422</v>
      </c>
      <c r="E162" s="4" t="s">
        <v>2423</v>
      </c>
      <c r="F162" s="9">
        <v>1384</v>
      </c>
      <c r="G162" s="4" t="s">
        <v>1356</v>
      </c>
      <c r="H162" s="4" t="s">
        <v>1664</v>
      </c>
      <c r="I162" s="9">
        <v>0</v>
      </c>
      <c r="J162" s="9">
        <v>1</v>
      </c>
      <c r="K162" s="4" t="s">
        <v>85</v>
      </c>
      <c r="L162" s="4" t="s">
        <v>1837</v>
      </c>
    </row>
    <row r="163" spans="1:12" ht="30" customHeight="1">
      <c r="A163" s="3" t="s">
        <v>2424</v>
      </c>
      <c r="B163" s="3" t="s">
        <v>2425</v>
      </c>
      <c r="C163" s="3" t="s">
        <v>1465</v>
      </c>
      <c r="D163" s="3" t="s">
        <v>2422</v>
      </c>
      <c r="E163" s="3" t="s">
        <v>2423</v>
      </c>
      <c r="F163" s="8">
        <v>1384</v>
      </c>
      <c r="G163" s="3" t="s">
        <v>1356</v>
      </c>
      <c r="H163" s="3" t="s">
        <v>1664</v>
      </c>
      <c r="I163" s="8">
        <v>0</v>
      </c>
      <c r="J163" s="8">
        <v>2</v>
      </c>
      <c r="K163" s="3" t="s">
        <v>85</v>
      </c>
      <c r="L163" s="3" t="s">
        <v>1837</v>
      </c>
    </row>
    <row r="164" spans="1:12" ht="30" customHeight="1">
      <c r="A164" s="4" t="s">
        <v>2426</v>
      </c>
      <c r="B164" s="4" t="s">
        <v>2427</v>
      </c>
      <c r="C164" s="4" t="s">
        <v>1465</v>
      </c>
      <c r="D164" s="4" t="s">
        <v>2428</v>
      </c>
      <c r="E164" s="4" t="s">
        <v>2429</v>
      </c>
      <c r="F164" s="9">
        <v>1372</v>
      </c>
      <c r="G164" s="4" t="s">
        <v>1354</v>
      </c>
      <c r="H164" s="4" t="s">
        <v>1664</v>
      </c>
      <c r="I164" s="9">
        <v>0</v>
      </c>
      <c r="J164" s="9">
        <v>1</v>
      </c>
      <c r="K164" s="4" t="s">
        <v>85</v>
      </c>
      <c r="L164" s="4" t="s">
        <v>1837</v>
      </c>
    </row>
    <row r="165" spans="1:12" ht="30" customHeight="1">
      <c r="A165" s="3" t="s">
        <v>2430</v>
      </c>
      <c r="B165" s="3" t="s">
        <v>2431</v>
      </c>
      <c r="C165" s="3" t="s">
        <v>1465</v>
      </c>
      <c r="D165" s="3" t="s">
        <v>2432</v>
      </c>
      <c r="E165" s="3" t="s">
        <v>2433</v>
      </c>
      <c r="F165" s="8">
        <v>1227</v>
      </c>
      <c r="G165" s="3" t="s">
        <v>1370</v>
      </c>
      <c r="H165" s="3" t="s">
        <v>1642</v>
      </c>
      <c r="I165" s="8">
        <v>0</v>
      </c>
      <c r="J165" s="8">
        <v>4</v>
      </c>
      <c r="K165" s="3" t="s">
        <v>85</v>
      </c>
      <c r="L165" s="3" t="s">
        <v>1837</v>
      </c>
    </row>
    <row r="166" spans="1:12" ht="48" customHeight="1">
      <c r="A166" s="4" t="s">
        <v>2434</v>
      </c>
      <c r="B166" s="4" t="s">
        <v>2435</v>
      </c>
      <c r="C166" s="4" t="s">
        <v>1465</v>
      </c>
      <c r="D166" s="4" t="s">
        <v>678</v>
      </c>
      <c r="E166" s="4" t="s">
        <v>1956</v>
      </c>
      <c r="F166" s="9">
        <v>1224</v>
      </c>
      <c r="G166" s="4" t="s">
        <v>1370</v>
      </c>
      <c r="H166" s="4" t="s">
        <v>1642</v>
      </c>
      <c r="I166" s="9">
        <v>0</v>
      </c>
      <c r="J166" s="9">
        <v>1</v>
      </c>
      <c r="K166" s="4" t="s">
        <v>85</v>
      </c>
      <c r="L166" s="4" t="s">
        <v>1837</v>
      </c>
    </row>
    <row r="167" spans="1:12" ht="30" customHeight="1">
      <c r="A167" s="3" t="s">
        <v>2436</v>
      </c>
      <c r="B167" s="3" t="s">
        <v>2437</v>
      </c>
      <c r="C167" s="3" t="s">
        <v>1465</v>
      </c>
      <c r="D167" s="3" t="s">
        <v>2438</v>
      </c>
      <c r="E167" s="3" t="s">
        <v>2439</v>
      </c>
      <c r="F167" s="8">
        <v>1220</v>
      </c>
      <c r="G167" s="3" t="s">
        <v>1370</v>
      </c>
      <c r="H167" s="3" t="s">
        <v>1642</v>
      </c>
      <c r="I167" s="8">
        <v>0</v>
      </c>
      <c r="J167" s="8">
        <v>1</v>
      </c>
      <c r="K167" s="3" t="s">
        <v>85</v>
      </c>
      <c r="L167" s="3" t="s">
        <v>1837</v>
      </c>
    </row>
    <row r="168" spans="1:12" ht="48" customHeight="1">
      <c r="A168" s="4" t="s">
        <v>2440</v>
      </c>
      <c r="B168" s="4" t="s">
        <v>2441</v>
      </c>
      <c r="C168" s="4" t="s">
        <v>1465</v>
      </c>
      <c r="D168" s="4" t="s">
        <v>1958</v>
      </c>
      <c r="E168" s="4" t="s">
        <v>1959</v>
      </c>
      <c r="F168" s="9">
        <v>1211</v>
      </c>
      <c r="G168" s="4" t="s">
        <v>1376</v>
      </c>
      <c r="H168" s="4" t="s">
        <v>1642</v>
      </c>
      <c r="I168" s="9">
        <v>0</v>
      </c>
      <c r="J168" s="9">
        <v>1</v>
      </c>
      <c r="K168" s="4" t="s">
        <v>85</v>
      </c>
      <c r="L168" s="4" t="s">
        <v>1837</v>
      </c>
    </row>
    <row r="169" spans="1:12" ht="48" customHeight="1">
      <c r="A169" s="3" t="s">
        <v>2442</v>
      </c>
      <c r="B169" s="3" t="s">
        <v>2443</v>
      </c>
      <c r="C169" s="3" t="s">
        <v>1465</v>
      </c>
      <c r="D169" s="3" t="s">
        <v>2444</v>
      </c>
      <c r="E169" s="3" t="s">
        <v>2445</v>
      </c>
      <c r="F169" s="8">
        <v>1211</v>
      </c>
      <c r="G169" s="3" t="s">
        <v>1376</v>
      </c>
      <c r="H169" s="3" t="s">
        <v>1642</v>
      </c>
      <c r="I169" s="8">
        <v>0</v>
      </c>
      <c r="J169" s="8">
        <v>1</v>
      </c>
      <c r="K169" s="3" t="s">
        <v>85</v>
      </c>
      <c r="L169" s="3" t="s">
        <v>1837</v>
      </c>
    </row>
    <row r="170" spans="1:12" ht="48" customHeight="1">
      <c r="A170" s="4" t="s">
        <v>2446</v>
      </c>
      <c r="B170" s="4" t="s">
        <v>2447</v>
      </c>
      <c r="C170" s="4" t="s">
        <v>1465</v>
      </c>
      <c r="D170" s="4" t="s">
        <v>1958</v>
      </c>
      <c r="E170" s="4" t="s">
        <v>1959</v>
      </c>
      <c r="F170" s="9">
        <v>1211</v>
      </c>
      <c r="G170" s="4" t="s">
        <v>1376</v>
      </c>
      <c r="H170" s="4" t="s">
        <v>1642</v>
      </c>
      <c r="I170" s="9">
        <v>0</v>
      </c>
      <c r="J170" s="9">
        <v>1</v>
      </c>
      <c r="K170" s="4" t="s">
        <v>85</v>
      </c>
      <c r="L170" s="4" t="s">
        <v>1837</v>
      </c>
    </row>
    <row r="171" spans="1:12" ht="48" customHeight="1">
      <c r="A171" s="3" t="s">
        <v>2448</v>
      </c>
      <c r="B171" s="3" t="s">
        <v>2449</v>
      </c>
      <c r="C171" s="3" t="s">
        <v>1465</v>
      </c>
      <c r="D171" s="3" t="s">
        <v>2450</v>
      </c>
      <c r="E171" s="3" t="s">
        <v>2451</v>
      </c>
      <c r="F171" s="8">
        <v>1208</v>
      </c>
      <c r="G171" s="3" t="s">
        <v>1376</v>
      </c>
      <c r="H171" s="3" t="s">
        <v>1642</v>
      </c>
      <c r="I171" s="8">
        <v>0</v>
      </c>
      <c r="J171" s="8">
        <v>2</v>
      </c>
      <c r="K171" s="3" t="s">
        <v>85</v>
      </c>
      <c r="L171" s="3" t="s">
        <v>1837</v>
      </c>
    </row>
    <row r="172" spans="1:12" ht="48" customHeight="1">
      <c r="A172" s="4" t="s">
        <v>2452</v>
      </c>
      <c r="B172" s="4" t="s">
        <v>2453</v>
      </c>
      <c r="C172" s="4" t="s">
        <v>1465</v>
      </c>
      <c r="D172" s="4" t="s">
        <v>1805</v>
      </c>
      <c r="E172" s="4" t="s">
        <v>1806</v>
      </c>
      <c r="F172" s="9">
        <v>1207</v>
      </c>
      <c r="G172" s="4" t="s">
        <v>1376</v>
      </c>
      <c r="H172" s="4" t="s">
        <v>1642</v>
      </c>
      <c r="I172" s="9">
        <v>0</v>
      </c>
      <c r="J172" s="9">
        <v>1</v>
      </c>
      <c r="K172" s="4" t="s">
        <v>85</v>
      </c>
      <c r="L172" s="4" t="s">
        <v>1837</v>
      </c>
    </row>
    <row r="173" spans="1:12" ht="30" customHeight="1">
      <c r="A173" s="3" t="s">
        <v>2454</v>
      </c>
      <c r="B173" s="3" t="s">
        <v>2455</v>
      </c>
      <c r="C173" s="3" t="s">
        <v>1465</v>
      </c>
      <c r="D173" s="3" t="s">
        <v>2019</v>
      </c>
      <c r="E173" s="3" t="s">
        <v>2020</v>
      </c>
      <c r="F173" s="8">
        <v>1205</v>
      </c>
      <c r="G173" s="3" t="s">
        <v>1380</v>
      </c>
      <c r="H173" s="3" t="s">
        <v>1642</v>
      </c>
      <c r="I173" s="8">
        <v>0</v>
      </c>
      <c r="J173" s="8">
        <v>1</v>
      </c>
      <c r="K173" s="3" t="s">
        <v>85</v>
      </c>
      <c r="L173" s="3" t="s">
        <v>1837</v>
      </c>
    </row>
    <row r="174" spans="1:12" ht="30" customHeight="1">
      <c r="A174" s="4" t="s">
        <v>2456</v>
      </c>
      <c r="B174" s="4" t="s">
        <v>2457</v>
      </c>
      <c r="C174" s="4" t="s">
        <v>1465</v>
      </c>
      <c r="D174" s="4" t="s">
        <v>2458</v>
      </c>
      <c r="E174" s="4" t="s">
        <v>2459</v>
      </c>
      <c r="F174" s="9">
        <v>1204</v>
      </c>
      <c r="G174" s="4" t="s">
        <v>1380</v>
      </c>
      <c r="H174" s="4" t="s">
        <v>1642</v>
      </c>
      <c r="I174" s="9">
        <v>0</v>
      </c>
      <c r="J174" s="9">
        <v>22</v>
      </c>
      <c r="K174" s="4" t="s">
        <v>85</v>
      </c>
      <c r="L174" s="4" t="s">
        <v>1837</v>
      </c>
    </row>
    <row r="175" spans="1:12" ht="48" customHeight="1">
      <c r="A175" s="3" t="s">
        <v>2460</v>
      </c>
      <c r="B175" s="3" t="s">
        <v>2461</v>
      </c>
      <c r="C175" s="3" t="s">
        <v>1465</v>
      </c>
      <c r="D175" s="3" t="s">
        <v>2462</v>
      </c>
      <c r="E175" s="3" t="s">
        <v>2463</v>
      </c>
      <c r="F175" s="8">
        <v>1204</v>
      </c>
      <c r="G175" s="3" t="s">
        <v>1380</v>
      </c>
      <c r="H175" s="3" t="s">
        <v>1642</v>
      </c>
      <c r="I175" s="8">
        <v>0</v>
      </c>
      <c r="J175" s="8">
        <v>3</v>
      </c>
      <c r="K175" s="3" t="s">
        <v>85</v>
      </c>
      <c r="L175" s="3" t="s">
        <v>1837</v>
      </c>
    </row>
    <row r="176" spans="1:12" ht="48" customHeight="1">
      <c r="A176" s="4" t="s">
        <v>2464</v>
      </c>
      <c r="B176" s="4" t="s">
        <v>2465</v>
      </c>
      <c r="C176" s="4" t="s">
        <v>1465</v>
      </c>
      <c r="D176" s="4" t="s">
        <v>1982</v>
      </c>
      <c r="E176" s="4" t="s">
        <v>1983</v>
      </c>
      <c r="F176" s="9">
        <v>1203</v>
      </c>
      <c r="G176" s="4" t="s">
        <v>1380</v>
      </c>
      <c r="H176" s="4" t="s">
        <v>1642</v>
      </c>
      <c r="I176" s="9">
        <v>0</v>
      </c>
      <c r="J176" s="9">
        <v>2</v>
      </c>
      <c r="K176" s="4" t="s">
        <v>85</v>
      </c>
      <c r="L176" s="4" t="s">
        <v>1837</v>
      </c>
    </row>
    <row r="177" spans="1:12" ht="48" customHeight="1">
      <c r="A177" s="3" t="s">
        <v>2466</v>
      </c>
      <c r="B177" s="3" t="s">
        <v>2467</v>
      </c>
      <c r="C177" s="3" t="s">
        <v>1465</v>
      </c>
      <c r="D177" s="3" t="s">
        <v>1708</v>
      </c>
      <c r="E177" s="3" t="s">
        <v>1709</v>
      </c>
      <c r="F177" s="8">
        <v>1203</v>
      </c>
      <c r="G177" s="3" t="s">
        <v>1356</v>
      </c>
      <c r="H177" s="3" t="s">
        <v>1664</v>
      </c>
      <c r="I177" s="8">
        <v>0</v>
      </c>
      <c r="J177" s="8">
        <v>1</v>
      </c>
      <c r="K177" s="3" t="s">
        <v>85</v>
      </c>
      <c r="L177" s="3" t="s">
        <v>1837</v>
      </c>
    </row>
    <row r="178" spans="1:12" ht="48" customHeight="1">
      <c r="A178" s="4" t="s">
        <v>2468</v>
      </c>
      <c r="B178" s="4" t="s">
        <v>2469</v>
      </c>
      <c r="C178" s="4" t="s">
        <v>1465</v>
      </c>
      <c r="D178" s="4" t="s">
        <v>1987</v>
      </c>
      <c r="E178" s="4" t="s">
        <v>1988</v>
      </c>
      <c r="F178" s="9">
        <v>1203</v>
      </c>
      <c r="G178" s="4" t="s">
        <v>1380</v>
      </c>
      <c r="H178" s="4" t="s">
        <v>1642</v>
      </c>
      <c r="I178" s="9">
        <v>0</v>
      </c>
      <c r="J178" s="9">
        <v>2</v>
      </c>
      <c r="K178" s="4" t="s">
        <v>85</v>
      </c>
      <c r="L178" s="4" t="s">
        <v>1837</v>
      </c>
    </row>
    <row r="179" spans="1:12" ht="48" customHeight="1">
      <c r="A179" s="3" t="s">
        <v>2470</v>
      </c>
      <c r="B179" s="3" t="s">
        <v>2471</v>
      </c>
      <c r="C179" s="3" t="s">
        <v>1465</v>
      </c>
      <c r="D179" s="3" t="s">
        <v>2039</v>
      </c>
      <c r="E179" s="3" t="s">
        <v>2040</v>
      </c>
      <c r="F179" s="8">
        <v>1203</v>
      </c>
      <c r="G179" s="3" t="s">
        <v>1380</v>
      </c>
      <c r="H179" s="3" t="s">
        <v>1642</v>
      </c>
      <c r="I179" s="8">
        <v>0</v>
      </c>
      <c r="J179" s="8">
        <v>6</v>
      </c>
      <c r="K179" s="3" t="s">
        <v>85</v>
      </c>
      <c r="L179" s="3" t="s">
        <v>1837</v>
      </c>
    </row>
    <row r="180" spans="1:12" ht="48" customHeight="1">
      <c r="A180" s="4" t="s">
        <v>2472</v>
      </c>
      <c r="B180" s="4" t="s">
        <v>2473</v>
      </c>
      <c r="C180" s="4" t="s">
        <v>1465</v>
      </c>
      <c r="D180" s="4" t="s">
        <v>2026</v>
      </c>
      <c r="E180" s="4" t="s">
        <v>2474</v>
      </c>
      <c r="F180" s="9">
        <v>1201</v>
      </c>
      <c r="G180" s="4" t="s">
        <v>1380</v>
      </c>
      <c r="H180" s="4" t="s">
        <v>1642</v>
      </c>
      <c r="I180" s="9">
        <v>0</v>
      </c>
      <c r="J180" s="9">
        <v>1</v>
      </c>
      <c r="K180" s="4" t="s">
        <v>85</v>
      </c>
      <c r="L180" s="4" t="s">
        <v>1837</v>
      </c>
    </row>
    <row r="181" spans="1:12" ht="48" customHeight="1">
      <c r="A181" s="3" t="s">
        <v>2475</v>
      </c>
      <c r="B181" s="3" t="s">
        <v>2476</v>
      </c>
      <c r="C181" s="3" t="s">
        <v>1465</v>
      </c>
      <c r="D181" s="3" t="s">
        <v>2044</v>
      </c>
      <c r="E181" s="3" t="s">
        <v>2477</v>
      </c>
      <c r="F181" s="8">
        <v>1201</v>
      </c>
      <c r="G181" s="3" t="s">
        <v>1380</v>
      </c>
      <c r="H181" s="3" t="s">
        <v>1642</v>
      </c>
      <c r="I181" s="8">
        <v>0</v>
      </c>
      <c r="J181" s="8">
        <v>3</v>
      </c>
      <c r="K181" s="3" t="s">
        <v>85</v>
      </c>
      <c r="L181" s="3" t="s">
        <v>1837</v>
      </c>
    </row>
    <row r="182" spans="1:12" ht="48" customHeight="1">
      <c r="A182" s="4" t="s">
        <v>2478</v>
      </c>
      <c r="B182" s="4" t="s">
        <v>2479</v>
      </c>
      <c r="C182" s="4" t="s">
        <v>1465</v>
      </c>
      <c r="D182" s="4" t="s">
        <v>2044</v>
      </c>
      <c r="E182" s="4" t="s">
        <v>2477</v>
      </c>
      <c r="F182" s="9">
        <v>1201</v>
      </c>
      <c r="G182" s="4" t="s">
        <v>1380</v>
      </c>
      <c r="H182" s="4" t="s">
        <v>1642</v>
      </c>
      <c r="I182" s="9">
        <v>0</v>
      </c>
      <c r="J182" s="9">
        <v>1</v>
      </c>
      <c r="K182" s="4" t="s">
        <v>85</v>
      </c>
      <c r="L182" s="4" t="s">
        <v>1837</v>
      </c>
    </row>
    <row r="183" spans="1:12" ht="30" customHeight="1">
      <c r="A183" s="3" t="s">
        <v>2480</v>
      </c>
      <c r="B183" s="3" t="s">
        <v>2481</v>
      </c>
      <c r="C183" s="3" t="s">
        <v>1465</v>
      </c>
      <c r="D183" s="3" t="s">
        <v>2008</v>
      </c>
      <c r="E183" s="3" t="s">
        <v>2009</v>
      </c>
      <c r="F183" s="8">
        <v>1199</v>
      </c>
      <c r="G183" s="3" t="s">
        <v>1380</v>
      </c>
      <c r="H183" s="3" t="s">
        <v>1642</v>
      </c>
      <c r="I183" s="8">
        <v>0</v>
      </c>
      <c r="J183" s="8">
        <v>1</v>
      </c>
      <c r="K183" s="3" t="s">
        <v>85</v>
      </c>
      <c r="L183" s="3" t="s">
        <v>1837</v>
      </c>
    </row>
    <row r="184" spans="1:12" ht="30" customHeight="1">
      <c r="A184" s="4" t="s">
        <v>2482</v>
      </c>
      <c r="B184" s="4" t="s">
        <v>2483</v>
      </c>
      <c r="C184" s="4" t="s">
        <v>1465</v>
      </c>
      <c r="D184" s="4" t="s">
        <v>2484</v>
      </c>
      <c r="E184" s="4" t="s">
        <v>2485</v>
      </c>
      <c r="F184" s="9">
        <v>1196</v>
      </c>
      <c r="G184" s="4" t="s">
        <v>1380</v>
      </c>
      <c r="H184" s="4" t="s">
        <v>1642</v>
      </c>
      <c r="I184" s="9">
        <v>0</v>
      </c>
      <c r="J184" s="9">
        <v>1</v>
      </c>
      <c r="K184" s="4" t="s">
        <v>85</v>
      </c>
      <c r="L184" s="4" t="s">
        <v>1837</v>
      </c>
    </row>
    <row r="185" spans="1:12" ht="30" customHeight="1">
      <c r="A185" s="3" t="s">
        <v>2486</v>
      </c>
      <c r="B185" s="3" t="s">
        <v>2487</v>
      </c>
      <c r="C185" s="3" t="s">
        <v>1465</v>
      </c>
      <c r="D185" s="3" t="s">
        <v>2488</v>
      </c>
      <c r="E185" s="3" t="s">
        <v>2489</v>
      </c>
      <c r="F185" s="8">
        <v>1172</v>
      </c>
      <c r="G185" s="3" t="s">
        <v>1380</v>
      </c>
      <c r="H185" s="3" t="s">
        <v>1642</v>
      </c>
      <c r="I185" s="8">
        <v>0</v>
      </c>
      <c r="J185" s="8">
        <v>1</v>
      </c>
      <c r="K185" s="3" t="s">
        <v>85</v>
      </c>
      <c r="L185" s="3" t="s">
        <v>1837</v>
      </c>
    </row>
    <row r="186" spans="1:12" ht="30" customHeight="1">
      <c r="A186" s="4" t="s">
        <v>2490</v>
      </c>
      <c r="B186" s="4" t="s">
        <v>2491</v>
      </c>
      <c r="C186" s="4" t="s">
        <v>1465</v>
      </c>
      <c r="D186" s="4" t="s">
        <v>2492</v>
      </c>
      <c r="E186" s="4" t="s">
        <v>2493</v>
      </c>
      <c r="F186" s="9">
        <v>1166</v>
      </c>
      <c r="G186" s="4" t="s">
        <v>1356</v>
      </c>
      <c r="H186" s="4" t="s">
        <v>1664</v>
      </c>
      <c r="I186" s="9">
        <v>0</v>
      </c>
      <c r="J186" s="9">
        <v>1</v>
      </c>
      <c r="K186" s="4" t="s">
        <v>85</v>
      </c>
      <c r="L186" s="4" t="s">
        <v>1837</v>
      </c>
    </row>
    <row r="187" spans="1:12" ht="48" customHeight="1">
      <c r="A187" s="3" t="s">
        <v>2494</v>
      </c>
      <c r="B187" s="3" t="s">
        <v>2495</v>
      </c>
      <c r="C187" s="3" t="s">
        <v>1465</v>
      </c>
      <c r="D187" s="3" t="s">
        <v>2496</v>
      </c>
      <c r="E187" s="3" t="s">
        <v>2497</v>
      </c>
      <c r="F187" s="8">
        <v>1159</v>
      </c>
      <c r="G187" s="3" t="s">
        <v>1356</v>
      </c>
      <c r="H187" s="3" t="s">
        <v>1664</v>
      </c>
      <c r="I187" s="8">
        <v>0</v>
      </c>
      <c r="J187" s="8">
        <v>2</v>
      </c>
      <c r="K187" s="3" t="s">
        <v>85</v>
      </c>
      <c r="L187" s="3" t="s">
        <v>1837</v>
      </c>
    </row>
    <row r="188" spans="1:12" ht="48" customHeight="1">
      <c r="A188" s="4" t="s">
        <v>2498</v>
      </c>
      <c r="B188" s="4" t="s">
        <v>2499</v>
      </c>
      <c r="C188" s="4" t="s">
        <v>1465</v>
      </c>
      <c r="D188" s="4" t="s">
        <v>2500</v>
      </c>
      <c r="E188" s="4" t="s">
        <v>2501</v>
      </c>
      <c r="F188" s="9">
        <v>1157</v>
      </c>
      <c r="G188" s="4" t="s">
        <v>2502</v>
      </c>
      <c r="H188" s="4" t="s">
        <v>1664</v>
      </c>
      <c r="I188" s="9">
        <v>0</v>
      </c>
      <c r="J188" s="9">
        <v>1</v>
      </c>
      <c r="K188" s="4" t="s">
        <v>85</v>
      </c>
      <c r="L188" s="4" t="s">
        <v>1837</v>
      </c>
    </row>
    <row r="189" spans="1:12" ht="30" customHeight="1">
      <c r="A189" s="3" t="s">
        <v>2503</v>
      </c>
      <c r="B189" s="3" t="s">
        <v>2504</v>
      </c>
      <c r="C189" s="3" t="s">
        <v>1465</v>
      </c>
      <c r="D189" s="3" t="s">
        <v>2505</v>
      </c>
      <c r="E189" s="3" t="s">
        <v>2506</v>
      </c>
      <c r="F189" s="8">
        <v>1124</v>
      </c>
      <c r="G189" s="3" t="s">
        <v>1380</v>
      </c>
      <c r="H189" s="3" t="s">
        <v>1642</v>
      </c>
      <c r="I189" s="8">
        <v>0</v>
      </c>
      <c r="J189" s="8">
        <v>2</v>
      </c>
      <c r="K189" s="3" t="s">
        <v>85</v>
      </c>
      <c r="L189" s="3" t="s">
        <v>1837</v>
      </c>
    </row>
    <row r="190" spans="1:12" ht="48" customHeight="1">
      <c r="A190" s="4" t="s">
        <v>2507</v>
      </c>
      <c r="B190" s="4" t="s">
        <v>2508</v>
      </c>
      <c r="C190" s="4" t="s">
        <v>1465</v>
      </c>
      <c r="D190" s="4" t="s">
        <v>2509</v>
      </c>
      <c r="E190" s="4" t="s">
        <v>2510</v>
      </c>
      <c r="F190" s="9">
        <v>1121</v>
      </c>
      <c r="G190" s="4" t="s">
        <v>1376</v>
      </c>
      <c r="H190" s="4" t="s">
        <v>1642</v>
      </c>
      <c r="I190" s="9">
        <v>0</v>
      </c>
      <c r="J190" s="9">
        <v>1</v>
      </c>
      <c r="K190" s="4" t="s">
        <v>85</v>
      </c>
      <c r="L190" s="4" t="s">
        <v>1837</v>
      </c>
    </row>
    <row r="191" spans="1:12" ht="48" customHeight="1">
      <c r="A191" s="3" t="s">
        <v>2511</v>
      </c>
      <c r="B191" s="3" t="s">
        <v>2512</v>
      </c>
      <c r="C191" s="3" t="s">
        <v>1465</v>
      </c>
      <c r="D191" s="3" t="s">
        <v>2509</v>
      </c>
      <c r="E191" s="3" t="s">
        <v>2510</v>
      </c>
      <c r="F191" s="8">
        <v>1121</v>
      </c>
      <c r="G191" s="3" t="s">
        <v>1376</v>
      </c>
      <c r="H191" s="3" t="s">
        <v>1642</v>
      </c>
      <c r="I191" s="8">
        <v>0</v>
      </c>
      <c r="J191" s="8">
        <v>1</v>
      </c>
      <c r="K191" s="3" t="s">
        <v>85</v>
      </c>
      <c r="L191" s="3" t="s">
        <v>1837</v>
      </c>
    </row>
    <row r="192" spans="1:12" ht="48" customHeight="1">
      <c r="A192" s="4" t="s">
        <v>2513</v>
      </c>
      <c r="B192" s="4" t="s">
        <v>2514</v>
      </c>
      <c r="C192" s="4" t="s">
        <v>1465</v>
      </c>
      <c r="D192" s="4" t="s">
        <v>2515</v>
      </c>
      <c r="E192" s="4" t="s">
        <v>2516</v>
      </c>
      <c r="F192" s="9">
        <v>1118</v>
      </c>
      <c r="G192" s="4" t="s">
        <v>1376</v>
      </c>
      <c r="H192" s="4" t="s">
        <v>1642</v>
      </c>
      <c r="I192" s="9">
        <v>0</v>
      </c>
      <c r="J192" s="9">
        <v>4</v>
      </c>
      <c r="K192" s="4" t="s">
        <v>85</v>
      </c>
      <c r="L192" s="4" t="s">
        <v>1837</v>
      </c>
    </row>
    <row r="193" spans="1:12" ht="30" customHeight="1">
      <c r="A193" s="3" t="s">
        <v>2517</v>
      </c>
      <c r="B193" s="3" t="s">
        <v>2518</v>
      </c>
      <c r="C193" s="3" t="s">
        <v>1465</v>
      </c>
      <c r="D193" s="3" t="s">
        <v>2011</v>
      </c>
      <c r="E193" s="3" t="s">
        <v>2012</v>
      </c>
      <c r="F193" s="8">
        <v>1082</v>
      </c>
      <c r="G193" s="3" t="s">
        <v>1376</v>
      </c>
      <c r="H193" s="3" t="s">
        <v>1642</v>
      </c>
      <c r="I193" s="8">
        <v>0</v>
      </c>
      <c r="J193" s="8">
        <v>3</v>
      </c>
      <c r="K193" s="3" t="s">
        <v>85</v>
      </c>
      <c r="L193" s="3" t="s">
        <v>1837</v>
      </c>
    </row>
    <row r="194" spans="1:12" ht="48" customHeight="1">
      <c r="A194" s="4" t="s">
        <v>2519</v>
      </c>
      <c r="B194" s="4" t="s">
        <v>2520</v>
      </c>
      <c r="C194" s="4" t="s">
        <v>1465</v>
      </c>
      <c r="D194" s="4" t="s">
        <v>2521</v>
      </c>
      <c r="E194" s="4" t="s">
        <v>2522</v>
      </c>
      <c r="F194" s="9">
        <v>1050</v>
      </c>
      <c r="G194" s="4" t="s">
        <v>1394</v>
      </c>
      <c r="H194" s="4" t="s">
        <v>1664</v>
      </c>
      <c r="I194" s="9">
        <v>0</v>
      </c>
      <c r="J194" s="9">
        <v>1</v>
      </c>
      <c r="K194" s="4" t="s">
        <v>85</v>
      </c>
      <c r="L194" s="4" t="s">
        <v>1837</v>
      </c>
    </row>
    <row r="195" spans="1:12" ht="48" customHeight="1">
      <c r="A195" s="3" t="s">
        <v>2523</v>
      </c>
      <c r="B195" s="3" t="s">
        <v>2524</v>
      </c>
      <c r="C195" s="3" t="s">
        <v>1465</v>
      </c>
      <c r="D195" s="3" t="s">
        <v>2525</v>
      </c>
      <c r="E195" s="3" t="s">
        <v>2526</v>
      </c>
      <c r="F195" s="8">
        <v>1014</v>
      </c>
      <c r="G195" s="3" t="s">
        <v>1396</v>
      </c>
      <c r="H195" s="3" t="s">
        <v>1642</v>
      </c>
      <c r="I195" s="8">
        <v>0</v>
      </c>
      <c r="J195" s="8">
        <v>6</v>
      </c>
      <c r="K195" s="3" t="s">
        <v>85</v>
      </c>
      <c r="L195" s="3" t="s">
        <v>1837</v>
      </c>
    </row>
    <row r="196" spans="1:12" ht="48" customHeight="1">
      <c r="A196" s="4" t="s">
        <v>506</v>
      </c>
      <c r="B196" s="4" t="s">
        <v>2527</v>
      </c>
      <c r="C196" s="4" t="s">
        <v>1465</v>
      </c>
      <c r="D196" s="4" t="s">
        <v>978</v>
      </c>
      <c r="E196" s="4" t="s">
        <v>1143</v>
      </c>
      <c r="F196" s="9">
        <v>7893</v>
      </c>
      <c r="G196" s="4" t="s">
        <v>2528</v>
      </c>
      <c r="H196" s="4" t="s">
        <v>1642</v>
      </c>
      <c r="I196" s="9">
        <v>0</v>
      </c>
      <c r="J196" s="9">
        <v>34</v>
      </c>
      <c r="K196" s="4" t="s">
        <v>85</v>
      </c>
      <c r="L196" s="4" t="s">
        <v>2054</v>
      </c>
    </row>
    <row r="197" spans="1:12" ht="102" customHeight="1">
      <c r="A197" s="3" t="s">
        <v>2529</v>
      </c>
      <c r="B197" s="3" t="s">
        <v>2530</v>
      </c>
      <c r="C197" s="3" t="s">
        <v>1465</v>
      </c>
      <c r="D197" s="3" t="s">
        <v>573</v>
      </c>
      <c r="E197" s="3" t="s">
        <v>1651</v>
      </c>
      <c r="F197" s="8">
        <v>22262</v>
      </c>
      <c r="G197" s="3" t="s">
        <v>1641</v>
      </c>
      <c r="H197" s="3" t="s">
        <v>1642</v>
      </c>
      <c r="I197" s="8">
        <v>0</v>
      </c>
      <c r="J197" s="8">
        <v>7</v>
      </c>
      <c r="K197" s="3" t="s">
        <v>85</v>
      </c>
      <c r="L197" s="3" t="s">
        <v>2086</v>
      </c>
    </row>
    <row r="198" spans="1:12" ht="48" customHeight="1">
      <c r="A198" s="4" t="s">
        <v>2531</v>
      </c>
      <c r="B198" s="4" t="s">
        <v>2532</v>
      </c>
      <c r="C198" s="4" t="s">
        <v>1465</v>
      </c>
      <c r="D198" s="4" t="s">
        <v>987</v>
      </c>
      <c r="E198" s="4" t="s">
        <v>1164</v>
      </c>
      <c r="F198" s="9">
        <v>7844</v>
      </c>
      <c r="G198" s="4" t="s">
        <v>2533</v>
      </c>
      <c r="H198" s="4" t="s">
        <v>1642</v>
      </c>
      <c r="I198" s="9">
        <v>0</v>
      </c>
      <c r="J198" s="9">
        <v>6</v>
      </c>
      <c r="K198" s="4" t="s">
        <v>85</v>
      </c>
      <c r="L198" s="4" t="s">
        <v>2086</v>
      </c>
    </row>
    <row r="199" spans="1:12" ht="48" customHeight="1">
      <c r="A199" s="3" t="s">
        <v>2534</v>
      </c>
      <c r="B199" s="3" t="s">
        <v>2535</v>
      </c>
      <c r="C199" s="3" t="s">
        <v>1465</v>
      </c>
      <c r="D199" s="3" t="s">
        <v>2110</v>
      </c>
      <c r="E199" s="3" t="s">
        <v>2111</v>
      </c>
      <c r="F199" s="8">
        <v>4525</v>
      </c>
      <c r="G199" s="3" t="s">
        <v>2091</v>
      </c>
      <c r="H199" s="3" t="s">
        <v>1664</v>
      </c>
      <c r="I199" s="8">
        <v>0</v>
      </c>
      <c r="J199" s="8">
        <v>1</v>
      </c>
      <c r="K199" s="3" t="s">
        <v>85</v>
      </c>
      <c r="L199" s="3" t="s">
        <v>2086</v>
      </c>
    </row>
    <row r="200" spans="1:12" ht="48" customHeight="1">
      <c r="A200" s="4" t="s">
        <v>2536</v>
      </c>
      <c r="B200" s="4" t="s">
        <v>2537</v>
      </c>
      <c r="C200" s="4" t="s">
        <v>1465</v>
      </c>
      <c r="D200" s="4" t="s">
        <v>2189</v>
      </c>
      <c r="E200" s="4" t="s">
        <v>2190</v>
      </c>
      <c r="F200" s="9">
        <v>4524</v>
      </c>
      <c r="G200" s="4" t="s">
        <v>2091</v>
      </c>
      <c r="H200" s="4" t="s">
        <v>1664</v>
      </c>
      <c r="I200" s="9">
        <v>0</v>
      </c>
      <c r="J200" s="9">
        <v>1</v>
      </c>
      <c r="K200" s="4" t="s">
        <v>85</v>
      </c>
      <c r="L200" s="4" t="s">
        <v>2086</v>
      </c>
    </row>
    <row r="201" spans="1:12" ht="48" customHeight="1">
      <c r="A201" s="3" t="s">
        <v>2538</v>
      </c>
      <c r="B201" s="3" t="s">
        <v>2539</v>
      </c>
      <c r="C201" s="3" t="s">
        <v>1465</v>
      </c>
      <c r="D201" s="3" t="s">
        <v>1855</v>
      </c>
      <c r="E201" s="3" t="s">
        <v>1856</v>
      </c>
      <c r="F201" s="8">
        <v>3976</v>
      </c>
      <c r="G201" s="3" t="s">
        <v>1857</v>
      </c>
      <c r="H201" s="3" t="s">
        <v>1642</v>
      </c>
      <c r="I201" s="8">
        <v>0</v>
      </c>
      <c r="J201" s="8">
        <v>3</v>
      </c>
      <c r="K201" s="3" t="s">
        <v>85</v>
      </c>
      <c r="L201" s="3" t="s">
        <v>2086</v>
      </c>
    </row>
    <row r="202" spans="1:12" ht="48" customHeight="1">
      <c r="A202" s="4" t="s">
        <v>2540</v>
      </c>
      <c r="B202" s="4" t="s">
        <v>2541</v>
      </c>
      <c r="C202" s="4" t="s">
        <v>1465</v>
      </c>
      <c r="D202" s="4" t="s">
        <v>1236</v>
      </c>
      <c r="E202" s="4" t="s">
        <v>2542</v>
      </c>
      <c r="F202" s="9">
        <v>3662</v>
      </c>
      <c r="G202" s="4" t="s">
        <v>2543</v>
      </c>
      <c r="H202" s="4" t="s">
        <v>1642</v>
      </c>
      <c r="I202" s="9">
        <v>0</v>
      </c>
      <c r="J202" s="9">
        <v>11</v>
      </c>
      <c r="K202" s="4" t="s">
        <v>85</v>
      </c>
      <c r="L202" s="4" t="s">
        <v>2086</v>
      </c>
    </row>
    <row r="203" spans="1:12" ht="48" customHeight="1">
      <c r="A203" s="3" t="s">
        <v>2544</v>
      </c>
      <c r="B203" s="3" t="s">
        <v>2545</v>
      </c>
      <c r="C203" s="3" t="s">
        <v>1465</v>
      </c>
      <c r="D203" s="3" t="s">
        <v>2546</v>
      </c>
      <c r="E203" s="3" t="s">
        <v>2547</v>
      </c>
      <c r="F203" s="8">
        <v>2960</v>
      </c>
      <c r="G203" s="3" t="s">
        <v>1823</v>
      </c>
      <c r="H203" s="3" t="s">
        <v>1664</v>
      </c>
      <c r="I203" s="8">
        <v>0</v>
      </c>
      <c r="J203" s="8">
        <v>3</v>
      </c>
      <c r="K203" s="3" t="s">
        <v>85</v>
      </c>
      <c r="L203" s="3" t="s">
        <v>2086</v>
      </c>
    </row>
    <row r="204" spans="1:12" ht="48" customHeight="1">
      <c r="A204" s="4" t="s">
        <v>2548</v>
      </c>
      <c r="B204" s="4" t="s">
        <v>2549</v>
      </c>
      <c r="C204" s="4" t="s">
        <v>1465</v>
      </c>
      <c r="D204" s="4" t="s">
        <v>2550</v>
      </c>
      <c r="E204" s="4" t="s">
        <v>2551</v>
      </c>
      <c r="F204" s="9">
        <v>2956</v>
      </c>
      <c r="G204" s="4" t="s">
        <v>1823</v>
      </c>
      <c r="H204" s="4" t="s">
        <v>1664</v>
      </c>
      <c r="I204" s="9">
        <v>0</v>
      </c>
      <c r="J204" s="9">
        <v>3</v>
      </c>
      <c r="K204" s="4" t="s">
        <v>85</v>
      </c>
      <c r="L204" s="4" t="s">
        <v>2086</v>
      </c>
    </row>
    <row r="205" spans="1:12" ht="48" customHeight="1">
      <c r="A205" s="3" t="s">
        <v>2552</v>
      </c>
      <c r="B205" s="3" t="s">
        <v>2553</v>
      </c>
      <c r="C205" s="3" t="s">
        <v>1465</v>
      </c>
      <c r="D205" s="3" t="s">
        <v>2554</v>
      </c>
      <c r="E205" s="3" t="s">
        <v>2555</v>
      </c>
      <c r="F205" s="8">
        <v>2777</v>
      </c>
      <c r="G205" s="3" t="s">
        <v>1865</v>
      </c>
      <c r="H205" s="3" t="s">
        <v>1642</v>
      </c>
      <c r="I205" s="8">
        <v>0</v>
      </c>
      <c r="J205" s="8">
        <v>4</v>
      </c>
      <c r="K205" s="3" t="s">
        <v>85</v>
      </c>
      <c r="L205" s="3" t="s">
        <v>2086</v>
      </c>
    </row>
    <row r="206" spans="1:12" ht="48" customHeight="1">
      <c r="A206" s="4" t="s">
        <v>2556</v>
      </c>
      <c r="B206" s="4" t="s">
        <v>2557</v>
      </c>
      <c r="C206" s="4" t="s">
        <v>1465</v>
      </c>
      <c r="D206" s="4" t="s">
        <v>2554</v>
      </c>
      <c r="E206" s="4" t="s">
        <v>2555</v>
      </c>
      <c r="F206" s="9">
        <v>2777</v>
      </c>
      <c r="G206" s="4" t="s">
        <v>1865</v>
      </c>
      <c r="H206" s="4" t="s">
        <v>1642</v>
      </c>
      <c r="I206" s="9">
        <v>0</v>
      </c>
      <c r="J206" s="9">
        <v>8</v>
      </c>
      <c r="K206" s="4" t="s">
        <v>85</v>
      </c>
      <c r="L206" s="4" t="s">
        <v>2086</v>
      </c>
    </row>
    <row r="207" spans="1:12" ht="48" customHeight="1">
      <c r="A207" s="3" t="s">
        <v>2558</v>
      </c>
      <c r="B207" s="3" t="s">
        <v>2559</v>
      </c>
      <c r="C207" s="3" t="s">
        <v>1465</v>
      </c>
      <c r="D207" s="3" t="s">
        <v>2560</v>
      </c>
      <c r="E207" s="3" t="s">
        <v>2561</v>
      </c>
      <c r="F207" s="8">
        <v>2534</v>
      </c>
      <c r="G207" s="3" t="s">
        <v>1684</v>
      </c>
      <c r="H207" s="3" t="s">
        <v>1642</v>
      </c>
      <c r="I207" s="8">
        <v>0</v>
      </c>
      <c r="J207" s="8">
        <v>2</v>
      </c>
      <c r="K207" s="3" t="s">
        <v>85</v>
      </c>
      <c r="L207" s="3" t="s">
        <v>2086</v>
      </c>
    </row>
    <row r="208" spans="1:12" ht="48" customHeight="1">
      <c r="A208" s="4" t="s">
        <v>2562</v>
      </c>
      <c r="B208" s="4" t="s">
        <v>2563</v>
      </c>
      <c r="C208" s="4" t="s">
        <v>1465</v>
      </c>
      <c r="D208" s="4" t="s">
        <v>2564</v>
      </c>
      <c r="E208" s="4" t="s">
        <v>2565</v>
      </c>
      <c r="F208" s="9">
        <v>2439</v>
      </c>
      <c r="G208" s="4" t="s">
        <v>1778</v>
      </c>
      <c r="H208" s="4" t="s">
        <v>1642</v>
      </c>
      <c r="I208" s="9">
        <v>0</v>
      </c>
      <c r="J208" s="9">
        <v>4</v>
      </c>
      <c r="K208" s="4" t="s">
        <v>85</v>
      </c>
      <c r="L208" s="4" t="s">
        <v>2086</v>
      </c>
    </row>
    <row r="209" spans="1:12" ht="48" customHeight="1">
      <c r="A209" s="3" t="s">
        <v>2566</v>
      </c>
      <c r="B209" s="3" t="s">
        <v>2567</v>
      </c>
      <c r="C209" s="3" t="s">
        <v>1465</v>
      </c>
      <c r="D209" s="3" t="s">
        <v>2568</v>
      </c>
      <c r="E209" s="3" t="s">
        <v>2569</v>
      </c>
      <c r="F209" s="8">
        <v>1576</v>
      </c>
      <c r="G209" s="3" t="s">
        <v>1672</v>
      </c>
      <c r="H209" s="3" t="s">
        <v>1664</v>
      </c>
      <c r="I209" s="8">
        <v>0</v>
      </c>
      <c r="J209" s="8">
        <v>1</v>
      </c>
      <c r="K209" s="3" t="s">
        <v>85</v>
      </c>
      <c r="L209" s="3" t="s">
        <v>2086</v>
      </c>
    </row>
    <row r="210" spans="1:12" ht="48" customHeight="1">
      <c r="A210" s="4" t="s">
        <v>2570</v>
      </c>
      <c r="B210" s="4" t="s">
        <v>2571</v>
      </c>
      <c r="C210" s="4" t="s">
        <v>1465</v>
      </c>
      <c r="D210" s="4" t="s">
        <v>2572</v>
      </c>
      <c r="E210" s="4" t="s">
        <v>2573</v>
      </c>
      <c r="F210" s="9">
        <v>1226</v>
      </c>
      <c r="G210" s="4" t="s">
        <v>1370</v>
      </c>
      <c r="H210" s="4" t="s">
        <v>1642</v>
      </c>
      <c r="I210" s="9">
        <v>0</v>
      </c>
      <c r="J210" s="9">
        <v>4</v>
      </c>
      <c r="K210" s="4" t="s">
        <v>85</v>
      </c>
      <c r="L210" s="4" t="s">
        <v>2086</v>
      </c>
    </row>
    <row r="211" spans="1:12" ht="48" customHeight="1">
      <c r="A211" s="3" t="s">
        <v>2574</v>
      </c>
      <c r="B211" s="3" t="s">
        <v>2575</v>
      </c>
      <c r="C211" s="3" t="s">
        <v>1465</v>
      </c>
      <c r="D211" s="3" t="s">
        <v>2572</v>
      </c>
      <c r="E211" s="3" t="s">
        <v>2573</v>
      </c>
      <c r="F211" s="8">
        <v>1226</v>
      </c>
      <c r="G211" s="3" t="s">
        <v>1370</v>
      </c>
      <c r="H211" s="3" t="s">
        <v>1642</v>
      </c>
      <c r="I211" s="8">
        <v>0</v>
      </c>
      <c r="J211" s="8">
        <v>2</v>
      </c>
      <c r="K211" s="3" t="s">
        <v>85</v>
      </c>
      <c r="L211" s="3" t="s">
        <v>2086</v>
      </c>
    </row>
    <row r="212" spans="1:12" ht="48" customHeight="1">
      <c r="A212" s="4" t="s">
        <v>2576</v>
      </c>
      <c r="B212" s="4" t="s">
        <v>2577</v>
      </c>
      <c r="C212" s="4" t="s">
        <v>1465</v>
      </c>
      <c r="D212" s="4" t="s">
        <v>2578</v>
      </c>
      <c r="E212" s="4" t="s">
        <v>2579</v>
      </c>
      <c r="F212" s="9">
        <v>1224</v>
      </c>
      <c r="G212" s="4" t="s">
        <v>1370</v>
      </c>
      <c r="H212" s="4" t="s">
        <v>1642</v>
      </c>
      <c r="I212" s="9">
        <v>0</v>
      </c>
      <c r="J212" s="9">
        <v>3</v>
      </c>
      <c r="K212" s="4" t="s">
        <v>85</v>
      </c>
      <c r="L212" s="4" t="s">
        <v>2086</v>
      </c>
    </row>
    <row r="213" spans="1:12" ht="48" customHeight="1">
      <c r="A213" s="3" t="s">
        <v>2580</v>
      </c>
      <c r="B213" s="3" t="s">
        <v>2581</v>
      </c>
      <c r="C213" s="3" t="s">
        <v>1465</v>
      </c>
      <c r="D213" s="3" t="s">
        <v>2582</v>
      </c>
      <c r="E213" s="3" t="s">
        <v>2583</v>
      </c>
      <c r="F213" s="8">
        <v>1219</v>
      </c>
      <c r="G213" s="3" t="s">
        <v>1370</v>
      </c>
      <c r="H213" s="3" t="s">
        <v>1642</v>
      </c>
      <c r="I213" s="8">
        <v>0</v>
      </c>
      <c r="J213" s="8">
        <v>4</v>
      </c>
      <c r="K213" s="3" t="s">
        <v>85</v>
      </c>
      <c r="L213" s="3" t="s">
        <v>2086</v>
      </c>
    </row>
    <row r="214" spans="1:12" ht="48" customHeight="1">
      <c r="A214" s="4" t="s">
        <v>2584</v>
      </c>
      <c r="B214" s="4" t="s">
        <v>2585</v>
      </c>
      <c r="C214" s="4" t="s">
        <v>1465</v>
      </c>
      <c r="D214" s="4" t="s">
        <v>1810</v>
      </c>
      <c r="E214" s="4" t="s">
        <v>1811</v>
      </c>
      <c r="F214" s="9">
        <v>1210</v>
      </c>
      <c r="G214" s="4" t="s">
        <v>1376</v>
      </c>
      <c r="H214" s="4" t="s">
        <v>1642</v>
      </c>
      <c r="I214" s="9">
        <v>0</v>
      </c>
      <c r="J214" s="9">
        <v>2</v>
      </c>
      <c r="K214" s="4" t="s">
        <v>85</v>
      </c>
      <c r="L214" s="4" t="s">
        <v>2086</v>
      </c>
    </row>
    <row r="215" spans="1:12" ht="48" customHeight="1">
      <c r="A215" s="3" t="s">
        <v>2586</v>
      </c>
      <c r="B215" s="3" t="s">
        <v>2587</v>
      </c>
      <c r="C215" s="3" t="s">
        <v>1465</v>
      </c>
      <c r="D215" s="3" t="s">
        <v>2019</v>
      </c>
      <c r="E215" s="3" t="s">
        <v>2020</v>
      </c>
      <c r="F215" s="8">
        <v>1205</v>
      </c>
      <c r="G215" s="3" t="s">
        <v>1380</v>
      </c>
      <c r="H215" s="3" t="s">
        <v>1642</v>
      </c>
      <c r="I215" s="8">
        <v>0</v>
      </c>
      <c r="J215" s="8">
        <v>1</v>
      </c>
      <c r="K215" s="3" t="s">
        <v>85</v>
      </c>
      <c r="L215" s="3" t="s">
        <v>2086</v>
      </c>
    </row>
    <row r="216" spans="1:12" ht="48" customHeight="1">
      <c r="A216" s="4" t="s">
        <v>2588</v>
      </c>
      <c r="B216" s="4" t="s">
        <v>2589</v>
      </c>
      <c r="C216" s="4" t="s">
        <v>1465</v>
      </c>
      <c r="D216" s="4" t="s">
        <v>2590</v>
      </c>
      <c r="E216" s="4" t="s">
        <v>2591</v>
      </c>
      <c r="F216" s="9">
        <v>1163</v>
      </c>
      <c r="G216" s="4" t="s">
        <v>2502</v>
      </c>
      <c r="H216" s="4" t="s">
        <v>1664</v>
      </c>
      <c r="I216" s="9">
        <v>0</v>
      </c>
      <c r="J216" s="9">
        <v>2</v>
      </c>
      <c r="K216" s="4" t="s">
        <v>85</v>
      </c>
      <c r="L216" s="4" t="s">
        <v>2086</v>
      </c>
    </row>
    <row r="217" spans="1:12" ht="48" customHeight="1">
      <c r="A217" s="3" t="s">
        <v>2592</v>
      </c>
      <c r="B217" s="3" t="s">
        <v>2593</v>
      </c>
      <c r="C217" s="3" t="s">
        <v>1465</v>
      </c>
      <c r="D217" s="3" t="s">
        <v>2594</v>
      </c>
      <c r="E217" s="3" t="s">
        <v>2595</v>
      </c>
      <c r="F217" s="8">
        <v>1150</v>
      </c>
      <c r="G217" s="3" t="s">
        <v>1796</v>
      </c>
      <c r="H217" s="3" t="s">
        <v>1664</v>
      </c>
      <c r="I217" s="8">
        <v>0</v>
      </c>
      <c r="J217" s="8">
        <v>1</v>
      </c>
      <c r="K217" s="3" t="s">
        <v>85</v>
      </c>
      <c r="L217" s="3" t="s">
        <v>2086</v>
      </c>
    </row>
    <row r="218" spans="1:12" ht="48" customHeight="1">
      <c r="A218" s="4" t="s">
        <v>2596</v>
      </c>
      <c r="B218" s="4" t="s">
        <v>2597</v>
      </c>
      <c r="C218" s="4" t="s">
        <v>1465</v>
      </c>
      <c r="D218" s="4" t="s">
        <v>2598</v>
      </c>
      <c r="E218" s="4" t="s">
        <v>2599</v>
      </c>
      <c r="F218" s="9">
        <v>1047</v>
      </c>
      <c r="G218" s="4" t="s">
        <v>1394</v>
      </c>
      <c r="H218" s="4" t="s">
        <v>1664</v>
      </c>
      <c r="I218" s="9">
        <v>0</v>
      </c>
      <c r="J218" s="9">
        <v>1</v>
      </c>
      <c r="K218" s="4" t="s">
        <v>85</v>
      </c>
      <c r="L218" s="4" t="s">
        <v>2086</v>
      </c>
    </row>
  </sheetData>
  <mergeCells count="2">
    <mergeCell ref="A1:L1"/>
    <mergeCell ref="A2:L2"/>
  </mergeCells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baseColWidth="10" defaultColWidth="8.83203125" defaultRowHeight="17"/>
  <cols>
    <col min="1" max="1" width="26" customWidth="1"/>
    <col min="2" max="3" width="12" customWidth="1"/>
    <col min="4" max="4" width="44" customWidth="1"/>
    <col min="5" max="5" width="12" customWidth="1"/>
    <col min="6" max="6" width="26" customWidth="1"/>
    <col min="7" max="7" width="12" customWidth="1"/>
    <col min="8" max="8" width="40" customWidth="1"/>
  </cols>
  <sheetData>
    <row r="1" spans="1:8" ht="42" customHeight="1">
      <c r="A1" s="21" t="s">
        <v>2600</v>
      </c>
      <c r="B1" s="22"/>
      <c r="C1" s="22"/>
      <c r="D1" s="22"/>
      <c r="E1" s="22"/>
      <c r="F1" s="22"/>
      <c r="G1" s="22"/>
      <c r="H1" s="22"/>
    </row>
    <row r="2" spans="1:8" ht="33" customHeight="1">
      <c r="A2" s="19" t="s">
        <v>2601</v>
      </c>
      <c r="B2" s="20"/>
      <c r="C2" s="20"/>
      <c r="D2" s="20"/>
      <c r="E2" s="20"/>
      <c r="F2" s="20"/>
      <c r="G2" s="20"/>
      <c r="H2" s="20"/>
    </row>
    <row r="3" spans="1:8" ht="16" customHeight="1">
      <c r="A3" s="2"/>
      <c r="B3" s="2"/>
      <c r="C3" s="2"/>
      <c r="D3" s="2"/>
      <c r="E3" s="2"/>
      <c r="F3" s="2"/>
      <c r="G3" s="2"/>
      <c r="H3" s="2"/>
    </row>
    <row r="4" spans="1:8" ht="48" customHeight="1">
      <c r="A4" s="7" t="s">
        <v>73</v>
      </c>
      <c r="B4" s="7" t="s">
        <v>1123</v>
      </c>
      <c r="C4" s="7" t="s">
        <v>2602</v>
      </c>
      <c r="D4" s="7" t="s">
        <v>1636</v>
      </c>
      <c r="E4" s="7" t="s">
        <v>1124</v>
      </c>
      <c r="F4" s="7" t="s">
        <v>1637</v>
      </c>
      <c r="G4" s="7" t="s">
        <v>1832</v>
      </c>
      <c r="H4" s="7" t="s">
        <v>2603</v>
      </c>
    </row>
    <row r="5" spans="1:8" ht="30" customHeight="1">
      <c r="A5" s="3" t="s">
        <v>2296</v>
      </c>
      <c r="B5" s="3" t="s">
        <v>2298</v>
      </c>
      <c r="C5" s="3" t="s">
        <v>1465</v>
      </c>
      <c r="D5" s="3" t="s">
        <v>2299</v>
      </c>
      <c r="E5" s="8">
        <v>2435</v>
      </c>
      <c r="F5" s="3" t="s">
        <v>1778</v>
      </c>
      <c r="G5" s="3" t="s">
        <v>1642</v>
      </c>
      <c r="H5" s="3" t="s">
        <v>2604</v>
      </c>
    </row>
    <row r="6" spans="1:8" ht="48" customHeight="1">
      <c r="A6" s="4" t="s">
        <v>2404</v>
      </c>
      <c r="B6" s="4" t="s">
        <v>2406</v>
      </c>
      <c r="C6" s="4" t="s">
        <v>1465</v>
      </c>
      <c r="D6" s="4" t="s">
        <v>2407</v>
      </c>
      <c r="E6" s="9">
        <v>1396</v>
      </c>
      <c r="F6" s="4" t="s">
        <v>1796</v>
      </c>
      <c r="G6" s="4" t="s">
        <v>1664</v>
      </c>
      <c r="H6" s="4" t="s">
        <v>2605</v>
      </c>
    </row>
    <row r="7" spans="1:8" ht="48" customHeight="1">
      <c r="A7" s="3" t="s">
        <v>2404</v>
      </c>
      <c r="B7" s="3" t="s">
        <v>2606</v>
      </c>
      <c r="C7" s="3" t="s">
        <v>1465</v>
      </c>
      <c r="D7" s="3" t="s">
        <v>2607</v>
      </c>
      <c r="E7" s="8">
        <v>1396</v>
      </c>
      <c r="F7" s="3" t="s">
        <v>1796</v>
      </c>
      <c r="G7" s="3" t="s">
        <v>1664</v>
      </c>
      <c r="H7" s="3" t="s">
        <v>2608</v>
      </c>
    </row>
    <row r="8" spans="1:8" ht="48" customHeight="1">
      <c r="A8" s="4" t="s">
        <v>2087</v>
      </c>
      <c r="B8" s="4" t="s">
        <v>2089</v>
      </c>
      <c r="C8" s="4" t="s">
        <v>1643</v>
      </c>
      <c r="D8" s="4" t="s">
        <v>2090</v>
      </c>
      <c r="E8" s="9">
        <v>4528</v>
      </c>
      <c r="F8" s="4" t="s">
        <v>2091</v>
      </c>
      <c r="G8" s="4" t="s">
        <v>1664</v>
      </c>
      <c r="H8" s="4" t="s">
        <v>2609</v>
      </c>
    </row>
    <row r="9" spans="1:8" ht="48" customHeight="1">
      <c r="A9" s="3" t="s">
        <v>2087</v>
      </c>
      <c r="B9" s="3" t="s">
        <v>2610</v>
      </c>
      <c r="C9" s="3" t="s">
        <v>1643</v>
      </c>
      <c r="D9" s="3" t="s">
        <v>2611</v>
      </c>
      <c r="E9" s="8">
        <v>4526</v>
      </c>
      <c r="F9" s="3" t="s">
        <v>2091</v>
      </c>
      <c r="G9" s="3" t="s">
        <v>1664</v>
      </c>
      <c r="H9" s="3" t="s">
        <v>2612</v>
      </c>
    </row>
    <row r="10" spans="1:8" ht="48" customHeight="1">
      <c r="A10" s="4" t="s">
        <v>2087</v>
      </c>
      <c r="B10" s="4" t="s">
        <v>2613</v>
      </c>
      <c r="C10" s="4" t="s">
        <v>1643</v>
      </c>
      <c r="D10" s="4" t="s">
        <v>2614</v>
      </c>
      <c r="E10" s="9">
        <v>1599</v>
      </c>
      <c r="F10" s="4" t="s">
        <v>1693</v>
      </c>
      <c r="G10" s="4" t="s">
        <v>1664</v>
      </c>
      <c r="H10" s="4" t="s">
        <v>2615</v>
      </c>
    </row>
    <row r="11" spans="1:8" ht="48" customHeight="1">
      <c r="A11" s="3" t="s">
        <v>2087</v>
      </c>
      <c r="B11" s="3" t="s">
        <v>2125</v>
      </c>
      <c r="C11" s="3" t="s">
        <v>1465</v>
      </c>
      <c r="D11" s="3" t="s">
        <v>2126</v>
      </c>
      <c r="E11" s="8">
        <v>1593</v>
      </c>
      <c r="F11" s="3" t="s">
        <v>1693</v>
      </c>
      <c r="G11" s="3" t="s">
        <v>1664</v>
      </c>
      <c r="H11" s="3" t="s">
        <v>2616</v>
      </c>
    </row>
    <row r="12" spans="1:8" ht="48" customHeight="1">
      <c r="A12" s="4" t="s">
        <v>2087</v>
      </c>
      <c r="B12" s="4" t="s">
        <v>2444</v>
      </c>
      <c r="C12" s="4" t="s">
        <v>1465</v>
      </c>
      <c r="D12" s="4" t="s">
        <v>2445</v>
      </c>
      <c r="E12" s="9">
        <v>1211</v>
      </c>
      <c r="F12" s="4" t="s">
        <v>1376</v>
      </c>
      <c r="G12" s="4" t="s">
        <v>1642</v>
      </c>
      <c r="H12" s="4" t="s">
        <v>2617</v>
      </c>
    </row>
    <row r="13" spans="1:8" ht="48" customHeight="1">
      <c r="A13" s="3" t="s">
        <v>2108</v>
      </c>
      <c r="B13" s="3" t="s">
        <v>2110</v>
      </c>
      <c r="C13" s="3" t="s">
        <v>1643</v>
      </c>
      <c r="D13" s="3" t="s">
        <v>2111</v>
      </c>
      <c r="E13" s="8">
        <v>4525</v>
      </c>
      <c r="F13" s="3" t="s">
        <v>2091</v>
      </c>
      <c r="G13" s="3" t="s">
        <v>1664</v>
      </c>
      <c r="H13" s="3" t="s">
        <v>2618</v>
      </c>
    </row>
    <row r="14" spans="1:8" ht="48" customHeight="1">
      <c r="A14" s="4" t="s">
        <v>2108</v>
      </c>
      <c r="B14" s="4" t="s">
        <v>2189</v>
      </c>
      <c r="C14" s="4" t="s">
        <v>1643</v>
      </c>
      <c r="D14" s="4" t="s">
        <v>2190</v>
      </c>
      <c r="E14" s="9">
        <v>4524</v>
      </c>
      <c r="F14" s="4" t="s">
        <v>2091</v>
      </c>
      <c r="G14" s="4" t="s">
        <v>1664</v>
      </c>
      <c r="H14" s="4" t="s">
        <v>2619</v>
      </c>
    </row>
    <row r="15" spans="1:8" ht="48" customHeight="1">
      <c r="A15" s="3" t="s">
        <v>2108</v>
      </c>
      <c r="B15" s="3" t="s">
        <v>2620</v>
      </c>
      <c r="C15" s="3" t="s">
        <v>1643</v>
      </c>
      <c r="D15" s="3" t="s">
        <v>2621</v>
      </c>
      <c r="E15" s="8">
        <v>1601</v>
      </c>
      <c r="F15" s="3" t="s">
        <v>1693</v>
      </c>
      <c r="G15" s="3" t="s">
        <v>1664</v>
      </c>
      <c r="H15" s="3" t="s">
        <v>2622</v>
      </c>
    </row>
    <row r="16" spans="1:8" ht="48" customHeight="1">
      <c r="A16" s="4" t="s">
        <v>2108</v>
      </c>
      <c r="B16" s="4" t="s">
        <v>2623</v>
      </c>
      <c r="C16" s="4" t="s">
        <v>1643</v>
      </c>
      <c r="D16" s="4" t="s">
        <v>2624</v>
      </c>
      <c r="E16" s="9">
        <v>1599</v>
      </c>
      <c r="F16" s="4" t="s">
        <v>1693</v>
      </c>
      <c r="G16" s="4" t="s">
        <v>1664</v>
      </c>
      <c r="H16" s="4" t="s">
        <v>2625</v>
      </c>
    </row>
    <row r="17" spans="1:8" ht="48" customHeight="1">
      <c r="A17" s="3" t="s">
        <v>2098</v>
      </c>
      <c r="B17" s="3" t="s">
        <v>2100</v>
      </c>
      <c r="C17" s="3" t="s">
        <v>1643</v>
      </c>
      <c r="D17" s="3" t="s">
        <v>2101</v>
      </c>
      <c r="E17" s="8">
        <v>4527</v>
      </c>
      <c r="F17" s="3" t="s">
        <v>2091</v>
      </c>
      <c r="G17" s="3" t="s">
        <v>1664</v>
      </c>
      <c r="H17" s="3" t="s">
        <v>2626</v>
      </c>
    </row>
    <row r="18" spans="1:8" ht="48" customHeight="1">
      <c r="A18" s="4" t="s">
        <v>2098</v>
      </c>
      <c r="B18" s="4" t="s">
        <v>2627</v>
      </c>
      <c r="C18" s="4" t="s">
        <v>1643</v>
      </c>
      <c r="D18" s="4" t="s">
        <v>2628</v>
      </c>
      <c r="E18" s="9">
        <v>4525</v>
      </c>
      <c r="F18" s="4" t="s">
        <v>2091</v>
      </c>
      <c r="G18" s="4" t="s">
        <v>1664</v>
      </c>
      <c r="H18" s="4" t="s">
        <v>2629</v>
      </c>
    </row>
    <row r="19" spans="1:8" ht="48" customHeight="1">
      <c r="A19" s="3" t="s">
        <v>2098</v>
      </c>
      <c r="B19" s="3" t="s">
        <v>2121</v>
      </c>
      <c r="C19" s="3" t="s">
        <v>1643</v>
      </c>
      <c r="D19" s="3" t="s">
        <v>2122</v>
      </c>
      <c r="E19" s="8">
        <v>1596</v>
      </c>
      <c r="F19" s="3" t="s">
        <v>1693</v>
      </c>
      <c r="G19" s="3" t="s">
        <v>1664</v>
      </c>
      <c r="H19" s="3" t="s">
        <v>2630</v>
      </c>
    </row>
    <row r="20" spans="1:8" ht="48" customHeight="1">
      <c r="A20" s="4" t="s">
        <v>2098</v>
      </c>
      <c r="B20" s="4" t="s">
        <v>2631</v>
      </c>
      <c r="C20" s="4" t="s">
        <v>1643</v>
      </c>
      <c r="D20" s="4" t="s">
        <v>2632</v>
      </c>
      <c r="E20" s="9">
        <v>1593</v>
      </c>
      <c r="F20" s="4" t="s">
        <v>1693</v>
      </c>
      <c r="G20" s="4" t="s">
        <v>1664</v>
      </c>
      <c r="H20" s="4" t="s">
        <v>2633</v>
      </c>
    </row>
    <row r="21" spans="1:8" ht="48" customHeight="1">
      <c r="A21" s="3" t="s">
        <v>2103</v>
      </c>
      <c r="B21" s="3" t="s">
        <v>2105</v>
      </c>
      <c r="C21" s="3" t="s">
        <v>1643</v>
      </c>
      <c r="D21" s="3" t="s">
        <v>2106</v>
      </c>
      <c r="E21" s="8">
        <v>4527</v>
      </c>
      <c r="F21" s="3" t="s">
        <v>2091</v>
      </c>
      <c r="G21" s="3" t="s">
        <v>1664</v>
      </c>
      <c r="H21" s="3" t="s">
        <v>2634</v>
      </c>
    </row>
    <row r="22" spans="1:8" ht="48" customHeight="1">
      <c r="A22" s="4" t="s">
        <v>2103</v>
      </c>
      <c r="B22" s="4" t="s">
        <v>2635</v>
      </c>
      <c r="C22" s="4" t="s">
        <v>1643</v>
      </c>
      <c r="D22" s="4" t="s">
        <v>2636</v>
      </c>
      <c r="E22" s="9">
        <v>4526</v>
      </c>
      <c r="F22" s="4" t="s">
        <v>2091</v>
      </c>
      <c r="G22" s="4" t="s">
        <v>1664</v>
      </c>
      <c r="H22" s="4" t="s">
        <v>2637</v>
      </c>
    </row>
    <row r="23" spans="1:8" ht="48" customHeight="1">
      <c r="A23" s="3" t="s">
        <v>2103</v>
      </c>
      <c r="B23" s="3" t="s">
        <v>2117</v>
      </c>
      <c r="C23" s="3" t="s">
        <v>1643</v>
      </c>
      <c r="D23" s="3" t="s">
        <v>2118</v>
      </c>
      <c r="E23" s="8">
        <v>1599</v>
      </c>
      <c r="F23" s="3" t="s">
        <v>1693</v>
      </c>
      <c r="G23" s="3" t="s">
        <v>1664</v>
      </c>
      <c r="H23" s="3" t="s">
        <v>2638</v>
      </c>
    </row>
    <row r="24" spans="1:8" ht="48" customHeight="1">
      <c r="A24" s="4" t="s">
        <v>2103</v>
      </c>
      <c r="B24" s="4" t="s">
        <v>2639</v>
      </c>
      <c r="C24" s="4" t="s">
        <v>1643</v>
      </c>
      <c r="D24" s="4" t="s">
        <v>2640</v>
      </c>
      <c r="E24" s="9">
        <v>1593</v>
      </c>
      <c r="F24" s="4" t="s">
        <v>1693</v>
      </c>
      <c r="G24" s="4" t="s">
        <v>1664</v>
      </c>
      <c r="H24" s="4" t="s">
        <v>2641</v>
      </c>
    </row>
    <row r="25" spans="1:8" ht="48" customHeight="1">
      <c r="A25" s="3" t="s">
        <v>2093</v>
      </c>
      <c r="B25" s="3" t="s">
        <v>2095</v>
      </c>
      <c r="C25" s="3" t="s">
        <v>1643</v>
      </c>
      <c r="D25" s="3" t="s">
        <v>2096</v>
      </c>
      <c r="E25" s="8">
        <v>4528</v>
      </c>
      <c r="F25" s="3" t="s">
        <v>2091</v>
      </c>
      <c r="G25" s="3" t="s">
        <v>1664</v>
      </c>
      <c r="H25" s="3" t="s">
        <v>2642</v>
      </c>
    </row>
    <row r="26" spans="1:8" ht="48" customHeight="1">
      <c r="A26" s="4" t="s">
        <v>2093</v>
      </c>
      <c r="B26" s="4" t="s">
        <v>2643</v>
      </c>
      <c r="C26" s="4" t="s">
        <v>1643</v>
      </c>
      <c r="D26" s="4" t="s">
        <v>2644</v>
      </c>
      <c r="E26" s="9">
        <v>4527</v>
      </c>
      <c r="F26" s="4" t="s">
        <v>2091</v>
      </c>
      <c r="G26" s="4" t="s">
        <v>1664</v>
      </c>
      <c r="H26" s="4" t="s">
        <v>2645</v>
      </c>
    </row>
    <row r="27" spans="1:8" ht="48" customHeight="1">
      <c r="A27" s="3" t="s">
        <v>2093</v>
      </c>
      <c r="B27" s="3" t="s">
        <v>2129</v>
      </c>
      <c r="C27" s="3" t="s">
        <v>1643</v>
      </c>
      <c r="D27" s="3" t="s">
        <v>2130</v>
      </c>
      <c r="E27" s="8">
        <v>1590</v>
      </c>
      <c r="F27" s="3" t="s">
        <v>1693</v>
      </c>
      <c r="G27" s="3" t="s">
        <v>1664</v>
      </c>
      <c r="H27" s="3" t="s">
        <v>2646</v>
      </c>
    </row>
    <row r="28" spans="1:8" ht="48" customHeight="1">
      <c r="A28" s="4" t="s">
        <v>2093</v>
      </c>
      <c r="B28" s="4" t="s">
        <v>2135</v>
      </c>
      <c r="C28" s="4" t="s">
        <v>1643</v>
      </c>
      <c r="D28" s="4" t="s">
        <v>2136</v>
      </c>
      <c r="E28" s="9">
        <v>1588</v>
      </c>
      <c r="F28" s="4" t="s">
        <v>1693</v>
      </c>
      <c r="G28" s="4" t="s">
        <v>1664</v>
      </c>
      <c r="H28" s="4" t="s">
        <v>2647</v>
      </c>
    </row>
    <row r="29" spans="1:8" ht="48" customHeight="1">
      <c r="A29" s="3" t="s">
        <v>2127</v>
      </c>
      <c r="B29" s="3" t="s">
        <v>2129</v>
      </c>
      <c r="C29" s="3" t="s">
        <v>1643</v>
      </c>
      <c r="D29" s="3" t="s">
        <v>2130</v>
      </c>
      <c r="E29" s="8">
        <v>1590</v>
      </c>
      <c r="F29" s="3" t="s">
        <v>1693</v>
      </c>
      <c r="G29" s="3" t="s">
        <v>1664</v>
      </c>
      <c r="H29" s="3" t="s">
        <v>2648</v>
      </c>
    </row>
    <row r="30" spans="1:8" ht="30" customHeight="1">
      <c r="A30" s="4" t="s">
        <v>2115</v>
      </c>
      <c r="B30" s="4" t="s">
        <v>2117</v>
      </c>
      <c r="C30" s="4" t="s">
        <v>1643</v>
      </c>
      <c r="D30" s="4" t="s">
        <v>2118</v>
      </c>
      <c r="E30" s="9">
        <v>1599</v>
      </c>
      <c r="F30" s="4" t="s">
        <v>1693</v>
      </c>
      <c r="G30" s="4" t="s">
        <v>1664</v>
      </c>
      <c r="H30" s="4" t="s">
        <v>2649</v>
      </c>
    </row>
    <row r="31" spans="1:8" ht="30" customHeight="1">
      <c r="A31" s="3" t="s">
        <v>2115</v>
      </c>
      <c r="B31" s="3" t="s">
        <v>2635</v>
      </c>
      <c r="C31" s="3" t="s">
        <v>1465</v>
      </c>
      <c r="D31" s="3" t="s">
        <v>2636</v>
      </c>
      <c r="E31" s="8">
        <v>4526</v>
      </c>
      <c r="F31" s="3" t="s">
        <v>2091</v>
      </c>
      <c r="G31" s="3" t="s">
        <v>1664</v>
      </c>
      <c r="H31" s="3" t="s">
        <v>2650</v>
      </c>
    </row>
    <row r="32" spans="1:8" ht="30" customHeight="1">
      <c r="A32" s="4" t="s">
        <v>2115</v>
      </c>
      <c r="B32" s="4" t="s">
        <v>2578</v>
      </c>
      <c r="C32" s="4" t="s">
        <v>1465</v>
      </c>
      <c r="D32" s="4" t="s">
        <v>2579</v>
      </c>
      <c r="E32" s="9">
        <v>1224</v>
      </c>
      <c r="F32" s="4" t="s">
        <v>1370</v>
      </c>
      <c r="G32" s="4" t="s">
        <v>1642</v>
      </c>
      <c r="H32" s="4" t="s">
        <v>2651</v>
      </c>
    </row>
    <row r="33" spans="1:8" ht="30" customHeight="1">
      <c r="A33" s="3" t="s">
        <v>2115</v>
      </c>
      <c r="B33" s="3" t="s">
        <v>2652</v>
      </c>
      <c r="C33" s="3" t="s">
        <v>1465</v>
      </c>
      <c r="D33" s="3" t="s">
        <v>2653</v>
      </c>
      <c r="E33" s="8">
        <v>1039</v>
      </c>
      <c r="F33" s="3" t="s">
        <v>1394</v>
      </c>
      <c r="G33" s="3" t="s">
        <v>1664</v>
      </c>
      <c r="H33" s="3" t="s">
        <v>2654</v>
      </c>
    </row>
    <row r="34" spans="1:8" ht="48" customHeight="1">
      <c r="A34" s="4" t="s">
        <v>2538</v>
      </c>
      <c r="B34" s="4" t="s">
        <v>2089</v>
      </c>
      <c r="C34" s="4" t="s">
        <v>1465</v>
      </c>
      <c r="D34" s="4" t="s">
        <v>2090</v>
      </c>
      <c r="E34" s="9">
        <v>4528</v>
      </c>
      <c r="F34" s="4" t="s">
        <v>2091</v>
      </c>
      <c r="G34" s="4" t="s">
        <v>1664</v>
      </c>
      <c r="H34" s="4" t="s">
        <v>2655</v>
      </c>
    </row>
    <row r="35" spans="1:8" ht="48" customHeight="1">
      <c r="A35" s="3" t="s">
        <v>2538</v>
      </c>
      <c r="B35" s="3" t="s">
        <v>1855</v>
      </c>
      <c r="C35" s="3" t="s">
        <v>1465</v>
      </c>
      <c r="D35" s="3" t="s">
        <v>1856</v>
      </c>
      <c r="E35" s="8">
        <v>3976</v>
      </c>
      <c r="F35" s="3" t="s">
        <v>1857</v>
      </c>
      <c r="G35" s="3" t="s">
        <v>1642</v>
      </c>
      <c r="H35" s="3" t="s">
        <v>2656</v>
      </c>
    </row>
    <row r="36" spans="1:8" ht="48" customHeight="1">
      <c r="A36" s="4" t="s">
        <v>2538</v>
      </c>
      <c r="B36" s="4" t="s">
        <v>2657</v>
      </c>
      <c r="C36" s="4" t="s">
        <v>1465</v>
      </c>
      <c r="D36" s="4" t="s">
        <v>2658</v>
      </c>
      <c r="E36" s="9">
        <v>1209</v>
      </c>
      <c r="F36" s="4" t="s">
        <v>1376</v>
      </c>
      <c r="G36" s="4" t="s">
        <v>1642</v>
      </c>
      <c r="H36" s="4" t="s">
        <v>2659</v>
      </c>
    </row>
    <row r="37" spans="1:8" ht="48" customHeight="1">
      <c r="A37" s="3" t="s">
        <v>2133</v>
      </c>
      <c r="B37" s="3" t="s">
        <v>2135</v>
      </c>
      <c r="C37" s="3" t="s">
        <v>1643</v>
      </c>
      <c r="D37" s="3" t="s">
        <v>2136</v>
      </c>
      <c r="E37" s="8">
        <v>1588</v>
      </c>
      <c r="F37" s="3" t="s">
        <v>1693</v>
      </c>
      <c r="G37" s="3" t="s">
        <v>1664</v>
      </c>
      <c r="H37" s="3" t="s">
        <v>2660</v>
      </c>
    </row>
    <row r="38" spans="1:8" ht="30" customHeight="1">
      <c r="A38" s="4" t="s">
        <v>2552</v>
      </c>
      <c r="B38" s="4" t="s">
        <v>2661</v>
      </c>
      <c r="C38" s="4" t="s">
        <v>1465</v>
      </c>
      <c r="D38" s="4" t="s">
        <v>2662</v>
      </c>
      <c r="E38" s="9">
        <v>4525</v>
      </c>
      <c r="F38" s="4" t="s">
        <v>2091</v>
      </c>
      <c r="G38" s="4" t="s">
        <v>1664</v>
      </c>
      <c r="H38" s="4" t="s">
        <v>2663</v>
      </c>
    </row>
    <row r="39" spans="1:8" ht="30" customHeight="1">
      <c r="A39" s="3" t="s">
        <v>2552</v>
      </c>
      <c r="B39" s="3" t="s">
        <v>2554</v>
      </c>
      <c r="C39" s="3" t="s">
        <v>1465</v>
      </c>
      <c r="D39" s="3" t="s">
        <v>2555</v>
      </c>
      <c r="E39" s="8">
        <v>2777</v>
      </c>
      <c r="F39" s="3" t="s">
        <v>1865</v>
      </c>
      <c r="G39" s="3" t="s">
        <v>1642</v>
      </c>
      <c r="H39" s="3" t="s">
        <v>2664</v>
      </c>
    </row>
    <row r="40" spans="1:8" ht="30" customHeight="1">
      <c r="A40" s="4" t="s">
        <v>2552</v>
      </c>
      <c r="B40" s="4" t="s">
        <v>2665</v>
      </c>
      <c r="C40" s="4" t="s">
        <v>1465</v>
      </c>
      <c r="D40" s="4" t="s">
        <v>2666</v>
      </c>
      <c r="E40" s="9">
        <v>2437</v>
      </c>
      <c r="F40" s="4" t="s">
        <v>1778</v>
      </c>
      <c r="G40" s="4" t="s">
        <v>1642</v>
      </c>
      <c r="H40" s="4" t="s">
        <v>2664</v>
      </c>
    </row>
    <row r="41" spans="1:8" ht="30" customHeight="1">
      <c r="A41" s="3" t="s">
        <v>2552</v>
      </c>
      <c r="B41" s="3" t="s">
        <v>2667</v>
      </c>
      <c r="C41" s="3" t="s">
        <v>1465</v>
      </c>
      <c r="D41" s="3" t="s">
        <v>2668</v>
      </c>
      <c r="E41" s="8">
        <v>1040</v>
      </c>
      <c r="F41" s="3" t="s">
        <v>1394</v>
      </c>
      <c r="G41" s="3" t="s">
        <v>1664</v>
      </c>
      <c r="H41" s="3" t="s">
        <v>2669</v>
      </c>
    </row>
    <row r="42" spans="1:8" ht="48" customHeight="1">
      <c r="A42" s="4" t="s">
        <v>2570</v>
      </c>
      <c r="B42" s="4" t="s">
        <v>2105</v>
      </c>
      <c r="C42" s="4" t="s">
        <v>1465</v>
      </c>
      <c r="D42" s="4" t="s">
        <v>2106</v>
      </c>
      <c r="E42" s="9">
        <v>4527</v>
      </c>
      <c r="F42" s="4" t="s">
        <v>2091</v>
      </c>
      <c r="G42" s="4" t="s">
        <v>1664</v>
      </c>
      <c r="H42" s="4" t="s">
        <v>2670</v>
      </c>
    </row>
    <row r="43" spans="1:8" ht="48" customHeight="1">
      <c r="A43" s="3" t="s">
        <v>2570</v>
      </c>
      <c r="B43" s="3" t="s">
        <v>2336</v>
      </c>
      <c r="C43" s="3" t="s">
        <v>1465</v>
      </c>
      <c r="D43" s="3" t="s">
        <v>2337</v>
      </c>
      <c r="E43" s="8">
        <v>1594</v>
      </c>
      <c r="F43" s="3" t="s">
        <v>2333</v>
      </c>
      <c r="G43" s="3" t="s">
        <v>1664</v>
      </c>
      <c r="H43" s="3" t="s">
        <v>2671</v>
      </c>
    </row>
    <row r="44" spans="1:8" ht="48" customHeight="1">
      <c r="A44" s="4" t="s">
        <v>2570</v>
      </c>
      <c r="B44" s="4" t="s">
        <v>2672</v>
      </c>
      <c r="C44" s="4" t="s">
        <v>1465</v>
      </c>
      <c r="D44" s="4" t="s">
        <v>2673</v>
      </c>
      <c r="E44" s="9">
        <v>1396</v>
      </c>
      <c r="F44" s="4" t="s">
        <v>1796</v>
      </c>
      <c r="G44" s="4" t="s">
        <v>1664</v>
      </c>
      <c r="H44" s="4" t="s">
        <v>2674</v>
      </c>
    </row>
    <row r="45" spans="1:8" ht="48" customHeight="1">
      <c r="A45" s="3" t="s">
        <v>2570</v>
      </c>
      <c r="B45" s="3" t="s">
        <v>2572</v>
      </c>
      <c r="C45" s="3" t="s">
        <v>1465</v>
      </c>
      <c r="D45" s="3" t="s">
        <v>2573</v>
      </c>
      <c r="E45" s="8">
        <v>1226</v>
      </c>
      <c r="F45" s="3" t="s">
        <v>1370</v>
      </c>
      <c r="G45" s="3" t="s">
        <v>1642</v>
      </c>
      <c r="H45" s="3" t="s">
        <v>2675</v>
      </c>
    </row>
    <row r="46" spans="1:8" ht="30" customHeight="1">
      <c r="A46" s="4" t="s">
        <v>2536</v>
      </c>
      <c r="B46" s="4" t="s">
        <v>2189</v>
      </c>
      <c r="C46" s="4" t="s">
        <v>1465</v>
      </c>
      <c r="D46" s="4" t="s">
        <v>2190</v>
      </c>
      <c r="E46" s="9">
        <v>4524</v>
      </c>
      <c r="F46" s="4" t="s">
        <v>2091</v>
      </c>
      <c r="G46" s="4" t="s">
        <v>1664</v>
      </c>
      <c r="H46" s="4" t="s">
        <v>2676</v>
      </c>
    </row>
    <row r="47" spans="1:8" ht="48" customHeight="1">
      <c r="A47" s="3" t="s">
        <v>2534</v>
      </c>
      <c r="B47" s="3" t="s">
        <v>2110</v>
      </c>
      <c r="C47" s="3" t="s">
        <v>1465</v>
      </c>
      <c r="D47" s="3" t="s">
        <v>2111</v>
      </c>
      <c r="E47" s="8">
        <v>4525</v>
      </c>
      <c r="F47" s="3" t="s">
        <v>2091</v>
      </c>
      <c r="G47" s="3" t="s">
        <v>1664</v>
      </c>
      <c r="H47" s="3" t="s">
        <v>2677</v>
      </c>
    </row>
    <row r="48" spans="1:8" ht="30" customHeight="1">
      <c r="A48" s="4" t="s">
        <v>2119</v>
      </c>
      <c r="B48" s="4" t="s">
        <v>2121</v>
      </c>
      <c r="C48" s="4" t="s">
        <v>1643</v>
      </c>
      <c r="D48" s="4" t="s">
        <v>2122</v>
      </c>
      <c r="E48" s="9">
        <v>1596</v>
      </c>
      <c r="F48" s="4" t="s">
        <v>1693</v>
      </c>
      <c r="G48" s="4" t="s">
        <v>1664</v>
      </c>
      <c r="H48" s="4" t="s">
        <v>2678</v>
      </c>
    </row>
    <row r="49" spans="1:8" ht="30" customHeight="1">
      <c r="A49" s="3" t="s">
        <v>2119</v>
      </c>
      <c r="B49" s="3" t="s">
        <v>2679</v>
      </c>
      <c r="C49" s="3" t="s">
        <v>1465</v>
      </c>
      <c r="D49" s="3" t="s">
        <v>2680</v>
      </c>
      <c r="E49" s="8">
        <v>1214</v>
      </c>
      <c r="F49" s="3" t="s">
        <v>1370</v>
      </c>
      <c r="G49" s="3" t="s">
        <v>1642</v>
      </c>
      <c r="H49" s="3" t="s">
        <v>2681</v>
      </c>
    </row>
    <row r="50" spans="1:8" ht="30" customHeight="1">
      <c r="A50" s="4" t="s">
        <v>2123</v>
      </c>
      <c r="B50" s="4" t="s">
        <v>2125</v>
      </c>
      <c r="C50" s="4" t="s">
        <v>1643</v>
      </c>
      <c r="D50" s="4" t="s">
        <v>2126</v>
      </c>
      <c r="E50" s="9">
        <v>1593</v>
      </c>
      <c r="F50" s="4" t="s">
        <v>1693</v>
      </c>
      <c r="G50" s="4" t="s">
        <v>1664</v>
      </c>
      <c r="H50" s="4" t="s">
        <v>2682</v>
      </c>
    </row>
    <row r="51" spans="1:8" ht="66" customHeight="1">
      <c r="A51" s="3" t="s">
        <v>2123</v>
      </c>
      <c r="B51" s="3" t="s">
        <v>2082</v>
      </c>
      <c r="C51" s="3" t="s">
        <v>1465</v>
      </c>
      <c r="D51" s="3" t="s">
        <v>2083</v>
      </c>
      <c r="E51" s="8">
        <v>15778</v>
      </c>
      <c r="F51" s="3" t="s">
        <v>2084</v>
      </c>
      <c r="G51" s="3" t="s">
        <v>1642</v>
      </c>
      <c r="H51" s="3" t="s">
        <v>2683</v>
      </c>
    </row>
    <row r="52" spans="1:8" ht="48" customHeight="1">
      <c r="A52" s="4" t="s">
        <v>2123</v>
      </c>
      <c r="B52" s="4" t="s">
        <v>1661</v>
      </c>
      <c r="C52" s="4" t="s">
        <v>1465</v>
      </c>
      <c r="D52" s="4" t="s">
        <v>1662</v>
      </c>
      <c r="E52" s="9">
        <v>8727</v>
      </c>
      <c r="F52" s="4" t="s">
        <v>1663</v>
      </c>
      <c r="G52" s="4" t="s">
        <v>1664</v>
      </c>
      <c r="H52" s="4" t="s">
        <v>2684</v>
      </c>
    </row>
    <row r="53" spans="1:8" ht="30" customHeight="1">
      <c r="A53" s="3" t="s">
        <v>2123</v>
      </c>
      <c r="B53" s="3" t="s">
        <v>2685</v>
      </c>
      <c r="C53" s="3" t="s">
        <v>1465</v>
      </c>
      <c r="D53" s="3" t="s">
        <v>2686</v>
      </c>
      <c r="E53" s="8">
        <v>1590</v>
      </c>
      <c r="F53" s="3" t="s">
        <v>2687</v>
      </c>
      <c r="G53" s="3" t="s">
        <v>1664</v>
      </c>
      <c r="H53" s="3" t="s">
        <v>2688</v>
      </c>
    </row>
    <row r="54" spans="1:8" ht="30" customHeight="1">
      <c r="A54" s="4" t="s">
        <v>2123</v>
      </c>
      <c r="B54" s="4" t="s">
        <v>2689</v>
      </c>
      <c r="C54" s="4" t="s">
        <v>1465</v>
      </c>
      <c r="D54" s="4" t="s">
        <v>2690</v>
      </c>
      <c r="E54" s="9">
        <v>1207</v>
      </c>
      <c r="F54" s="4" t="s">
        <v>1376</v>
      </c>
      <c r="G54" s="4" t="s">
        <v>1642</v>
      </c>
      <c r="H54" s="4" t="s">
        <v>2691</v>
      </c>
    </row>
    <row r="55" spans="1:8" ht="48" customHeight="1">
      <c r="A55" s="3" t="s">
        <v>2588</v>
      </c>
      <c r="B55" s="3" t="s">
        <v>2590</v>
      </c>
      <c r="C55" s="3" t="s">
        <v>1465</v>
      </c>
      <c r="D55" s="3" t="s">
        <v>2591</v>
      </c>
      <c r="E55" s="8">
        <v>1163</v>
      </c>
      <c r="F55" s="3" t="s">
        <v>2502</v>
      </c>
      <c r="G55" s="3" t="s">
        <v>1664</v>
      </c>
      <c r="H55" s="3" t="s">
        <v>2692</v>
      </c>
    </row>
    <row r="56" spans="1:8" ht="48" customHeight="1">
      <c r="A56" s="4" t="s">
        <v>2588</v>
      </c>
      <c r="B56" s="4" t="s">
        <v>2693</v>
      </c>
      <c r="C56" s="4" t="s">
        <v>1465</v>
      </c>
      <c r="D56" s="4" t="s">
        <v>2694</v>
      </c>
      <c r="E56" s="9">
        <v>1050</v>
      </c>
      <c r="F56" s="4" t="s">
        <v>1394</v>
      </c>
      <c r="G56" s="4" t="s">
        <v>1664</v>
      </c>
      <c r="H56" s="4" t="s">
        <v>2695</v>
      </c>
    </row>
    <row r="57" spans="1:8" ht="30" customHeight="1">
      <c r="A57" s="3" t="s">
        <v>2580</v>
      </c>
      <c r="B57" s="3" t="s">
        <v>2696</v>
      </c>
      <c r="C57" s="3" t="s">
        <v>1465</v>
      </c>
      <c r="D57" s="3" t="s">
        <v>2697</v>
      </c>
      <c r="E57" s="8">
        <v>2425</v>
      </c>
      <c r="F57" s="3" t="s">
        <v>2698</v>
      </c>
      <c r="G57" s="3" t="s">
        <v>1664</v>
      </c>
      <c r="H57" s="3" t="s">
        <v>2699</v>
      </c>
    </row>
    <row r="58" spans="1:8" ht="30" customHeight="1">
      <c r="A58" s="4" t="s">
        <v>2580</v>
      </c>
      <c r="B58" s="4" t="s">
        <v>2700</v>
      </c>
      <c r="C58" s="4" t="s">
        <v>1465</v>
      </c>
      <c r="D58" s="4" t="s">
        <v>2701</v>
      </c>
      <c r="E58" s="9">
        <v>1311</v>
      </c>
      <c r="F58" s="4" t="s">
        <v>2702</v>
      </c>
      <c r="G58" s="4" t="s">
        <v>1664</v>
      </c>
      <c r="H58" s="4" t="s">
        <v>2703</v>
      </c>
    </row>
    <row r="59" spans="1:8" ht="48" customHeight="1">
      <c r="A59" s="3" t="s">
        <v>2580</v>
      </c>
      <c r="B59" s="3" t="s">
        <v>2704</v>
      </c>
      <c r="C59" s="3" t="s">
        <v>1465</v>
      </c>
      <c r="D59" s="3" t="s">
        <v>2705</v>
      </c>
      <c r="E59" s="8">
        <v>1311</v>
      </c>
      <c r="F59" s="3" t="s">
        <v>2702</v>
      </c>
      <c r="G59" s="3" t="s">
        <v>1664</v>
      </c>
      <c r="H59" s="3" t="s">
        <v>2706</v>
      </c>
    </row>
    <row r="60" spans="1:8" ht="30" customHeight="1">
      <c r="A60" s="4" t="s">
        <v>2580</v>
      </c>
      <c r="B60" s="4" t="s">
        <v>2582</v>
      </c>
      <c r="C60" s="4" t="s">
        <v>1465</v>
      </c>
      <c r="D60" s="4" t="s">
        <v>2583</v>
      </c>
      <c r="E60" s="9">
        <v>1219</v>
      </c>
      <c r="F60" s="4" t="s">
        <v>1370</v>
      </c>
      <c r="G60" s="4" t="s">
        <v>1642</v>
      </c>
      <c r="H60" s="4" t="s">
        <v>2707</v>
      </c>
    </row>
    <row r="61" spans="1:8" ht="48" customHeight="1">
      <c r="A61" s="3" t="s">
        <v>2574</v>
      </c>
      <c r="B61" s="3" t="s">
        <v>2708</v>
      </c>
      <c r="C61" s="3" t="s">
        <v>1465</v>
      </c>
      <c r="D61" s="3" t="s">
        <v>2709</v>
      </c>
      <c r="E61" s="8">
        <v>1396</v>
      </c>
      <c r="F61" s="3" t="s">
        <v>1796</v>
      </c>
      <c r="G61" s="3" t="s">
        <v>1664</v>
      </c>
      <c r="H61" s="3" t="s">
        <v>2710</v>
      </c>
    </row>
    <row r="62" spans="1:8" ht="30" customHeight="1">
      <c r="A62" s="4" t="s">
        <v>2574</v>
      </c>
      <c r="B62" s="4" t="s">
        <v>2572</v>
      </c>
      <c r="C62" s="4" t="s">
        <v>1465</v>
      </c>
      <c r="D62" s="4" t="s">
        <v>2573</v>
      </c>
      <c r="E62" s="9">
        <v>1226</v>
      </c>
      <c r="F62" s="4" t="s">
        <v>1370</v>
      </c>
      <c r="G62" s="4" t="s">
        <v>1642</v>
      </c>
      <c r="H62" s="4" t="s">
        <v>2711</v>
      </c>
    </row>
    <row r="63" spans="1:8" ht="30" customHeight="1">
      <c r="A63" s="3" t="s">
        <v>2576</v>
      </c>
      <c r="B63" s="3" t="s">
        <v>2117</v>
      </c>
      <c r="C63" s="3" t="s">
        <v>1465</v>
      </c>
      <c r="D63" s="3" t="s">
        <v>2118</v>
      </c>
      <c r="E63" s="8">
        <v>1599</v>
      </c>
      <c r="F63" s="3" t="s">
        <v>1693</v>
      </c>
      <c r="G63" s="3" t="s">
        <v>1664</v>
      </c>
      <c r="H63" s="3" t="s">
        <v>2712</v>
      </c>
    </row>
    <row r="64" spans="1:8" ht="30" customHeight="1">
      <c r="A64" s="4" t="s">
        <v>2576</v>
      </c>
      <c r="B64" s="4" t="s">
        <v>2578</v>
      </c>
      <c r="C64" s="4" t="s">
        <v>1465</v>
      </c>
      <c r="D64" s="4" t="s">
        <v>2579</v>
      </c>
      <c r="E64" s="9">
        <v>1224</v>
      </c>
      <c r="F64" s="4" t="s">
        <v>1370</v>
      </c>
      <c r="G64" s="4" t="s">
        <v>1642</v>
      </c>
      <c r="H64" s="4" t="s">
        <v>2651</v>
      </c>
    </row>
    <row r="65" spans="1:8" ht="30" customHeight="1">
      <c r="A65" s="3" t="s">
        <v>2576</v>
      </c>
      <c r="B65" s="3" t="s">
        <v>2652</v>
      </c>
      <c r="C65" s="3" t="s">
        <v>1465</v>
      </c>
      <c r="D65" s="3" t="s">
        <v>2653</v>
      </c>
      <c r="E65" s="8">
        <v>1039</v>
      </c>
      <c r="F65" s="3" t="s">
        <v>1394</v>
      </c>
      <c r="G65" s="3" t="s">
        <v>1664</v>
      </c>
      <c r="H65" s="3" t="s">
        <v>2713</v>
      </c>
    </row>
    <row r="66" spans="1:8" ht="30" customHeight="1">
      <c r="A66" s="4" t="s">
        <v>2131</v>
      </c>
      <c r="B66" s="4" t="s">
        <v>2129</v>
      </c>
      <c r="C66" s="4" t="s">
        <v>1643</v>
      </c>
      <c r="D66" s="4" t="s">
        <v>2130</v>
      </c>
      <c r="E66" s="9">
        <v>1590</v>
      </c>
      <c r="F66" s="4" t="s">
        <v>1693</v>
      </c>
      <c r="G66" s="4" t="s">
        <v>1664</v>
      </c>
      <c r="H66" s="4" t="s">
        <v>2648</v>
      </c>
    </row>
    <row r="67" spans="1:8" ht="30" customHeight="1">
      <c r="A67" s="3" t="s">
        <v>2131</v>
      </c>
      <c r="B67" s="3" t="s">
        <v>2714</v>
      </c>
      <c r="C67" s="3" t="s">
        <v>1465</v>
      </c>
      <c r="D67" s="3" t="s">
        <v>2715</v>
      </c>
      <c r="E67" s="8">
        <v>1430</v>
      </c>
      <c r="F67" s="3" t="s">
        <v>1356</v>
      </c>
      <c r="G67" s="3" t="s">
        <v>1664</v>
      </c>
      <c r="H67" s="3" t="s">
        <v>2716</v>
      </c>
    </row>
    <row r="68" spans="1:8" ht="48" customHeight="1">
      <c r="A68" s="4" t="s">
        <v>2531</v>
      </c>
      <c r="B68" s="4" t="s">
        <v>987</v>
      </c>
      <c r="C68" s="4" t="s">
        <v>1465</v>
      </c>
      <c r="D68" s="4" t="s">
        <v>1164</v>
      </c>
      <c r="E68" s="9">
        <v>7844</v>
      </c>
      <c r="F68" s="4" t="s">
        <v>2533</v>
      </c>
      <c r="G68" s="4" t="s">
        <v>1642</v>
      </c>
      <c r="H68" s="4" t="s">
        <v>2717</v>
      </c>
    </row>
    <row r="69" spans="1:8" ht="30" customHeight="1">
      <c r="A69" s="3" t="s">
        <v>2531</v>
      </c>
      <c r="B69" s="3" t="s">
        <v>2718</v>
      </c>
      <c r="C69" s="3" t="s">
        <v>1465</v>
      </c>
      <c r="D69" s="3" t="s">
        <v>1164</v>
      </c>
      <c r="E69" s="8">
        <v>3928</v>
      </c>
      <c r="F69" s="3" t="s">
        <v>2719</v>
      </c>
      <c r="G69" s="3" t="s">
        <v>1642</v>
      </c>
      <c r="H69" s="3" t="s">
        <v>2720</v>
      </c>
    </row>
    <row r="70" spans="1:8" ht="30" customHeight="1">
      <c r="A70" s="4" t="s">
        <v>2531</v>
      </c>
      <c r="B70" s="4" t="s">
        <v>2721</v>
      </c>
      <c r="C70" s="4" t="s">
        <v>1465</v>
      </c>
      <c r="D70" s="4" t="s">
        <v>2722</v>
      </c>
      <c r="E70" s="9">
        <v>2931</v>
      </c>
      <c r="F70" s="4" t="s">
        <v>2723</v>
      </c>
      <c r="G70" s="4" t="s">
        <v>1664</v>
      </c>
      <c r="H70" s="4" t="s">
        <v>2724</v>
      </c>
    </row>
    <row r="71" spans="1:8" ht="30" customHeight="1">
      <c r="A71" s="3" t="s">
        <v>2531</v>
      </c>
      <c r="B71" s="3" t="s">
        <v>2725</v>
      </c>
      <c r="C71" s="3" t="s">
        <v>1465</v>
      </c>
      <c r="D71" s="3" t="s">
        <v>2726</v>
      </c>
      <c r="E71" s="8">
        <v>2432</v>
      </c>
      <c r="F71" s="3" t="s">
        <v>1778</v>
      </c>
      <c r="G71" s="3" t="s">
        <v>1642</v>
      </c>
      <c r="H71" s="3" t="s">
        <v>2727</v>
      </c>
    </row>
    <row r="72" spans="1:8" ht="30" customHeight="1">
      <c r="A72" s="4" t="s">
        <v>2531</v>
      </c>
      <c r="B72" s="4" t="s">
        <v>2728</v>
      </c>
      <c r="C72" s="4" t="s">
        <v>1465</v>
      </c>
      <c r="D72" s="4" t="s">
        <v>2729</v>
      </c>
      <c r="E72" s="9">
        <v>2421</v>
      </c>
      <c r="F72" s="4" t="s">
        <v>1778</v>
      </c>
      <c r="G72" s="4" t="s">
        <v>1642</v>
      </c>
      <c r="H72" s="4" t="s">
        <v>2730</v>
      </c>
    </row>
    <row r="73" spans="1:8" ht="30" customHeight="1">
      <c r="A73" s="3" t="s">
        <v>2531</v>
      </c>
      <c r="B73" s="3" t="s">
        <v>2731</v>
      </c>
      <c r="C73" s="3" t="s">
        <v>1465</v>
      </c>
      <c r="D73" s="3" t="s">
        <v>2732</v>
      </c>
      <c r="E73" s="8">
        <v>1039</v>
      </c>
      <c r="F73" s="3" t="s">
        <v>1394</v>
      </c>
      <c r="G73" s="3" t="s">
        <v>1664</v>
      </c>
      <c r="H73" s="3" t="s">
        <v>2733</v>
      </c>
    </row>
    <row r="74" spans="1:8" ht="48" customHeight="1">
      <c r="A74" s="4" t="s">
        <v>2558</v>
      </c>
      <c r="B74" s="4" t="s">
        <v>2560</v>
      </c>
      <c r="C74" s="4" t="s">
        <v>1465</v>
      </c>
      <c r="D74" s="4" t="s">
        <v>2561</v>
      </c>
      <c r="E74" s="9">
        <v>2534</v>
      </c>
      <c r="F74" s="4" t="s">
        <v>1684</v>
      </c>
      <c r="G74" s="4" t="s">
        <v>1642</v>
      </c>
      <c r="H74" s="4" t="s">
        <v>2734</v>
      </c>
    </row>
    <row r="75" spans="1:8" ht="30" customHeight="1">
      <c r="A75" s="3" t="s">
        <v>2558</v>
      </c>
      <c r="B75" s="3" t="s">
        <v>2735</v>
      </c>
      <c r="C75" s="3" t="s">
        <v>1465</v>
      </c>
      <c r="D75" s="3" t="s">
        <v>2736</v>
      </c>
      <c r="E75" s="8">
        <v>1047</v>
      </c>
      <c r="F75" s="3" t="s">
        <v>1394</v>
      </c>
      <c r="G75" s="3" t="s">
        <v>1664</v>
      </c>
      <c r="H75" s="3" t="s">
        <v>2737</v>
      </c>
    </row>
    <row r="76" spans="1:8" ht="30" customHeight="1">
      <c r="A76" s="4" t="s">
        <v>2556</v>
      </c>
      <c r="B76" s="4" t="s">
        <v>2661</v>
      </c>
      <c r="C76" s="4" t="s">
        <v>1465</v>
      </c>
      <c r="D76" s="4" t="s">
        <v>2662</v>
      </c>
      <c r="E76" s="9">
        <v>4525</v>
      </c>
      <c r="F76" s="4" t="s">
        <v>2091</v>
      </c>
      <c r="G76" s="4" t="s">
        <v>1664</v>
      </c>
      <c r="H76" s="4" t="s">
        <v>2738</v>
      </c>
    </row>
    <row r="77" spans="1:8" ht="30" customHeight="1">
      <c r="A77" s="3" t="s">
        <v>2556</v>
      </c>
      <c r="B77" s="3" t="s">
        <v>2554</v>
      </c>
      <c r="C77" s="3" t="s">
        <v>1465</v>
      </c>
      <c r="D77" s="3" t="s">
        <v>2555</v>
      </c>
      <c r="E77" s="8">
        <v>2777</v>
      </c>
      <c r="F77" s="3" t="s">
        <v>1865</v>
      </c>
      <c r="G77" s="3" t="s">
        <v>1642</v>
      </c>
      <c r="H77" s="3" t="s">
        <v>2664</v>
      </c>
    </row>
    <row r="78" spans="1:8" ht="30" customHeight="1">
      <c r="A78" s="4" t="s">
        <v>2556</v>
      </c>
      <c r="B78" s="4" t="s">
        <v>2665</v>
      </c>
      <c r="C78" s="4" t="s">
        <v>1465</v>
      </c>
      <c r="D78" s="4" t="s">
        <v>2666</v>
      </c>
      <c r="E78" s="9">
        <v>2437</v>
      </c>
      <c r="F78" s="4" t="s">
        <v>1778</v>
      </c>
      <c r="G78" s="4" t="s">
        <v>1642</v>
      </c>
      <c r="H78" s="4" t="s">
        <v>2664</v>
      </c>
    </row>
    <row r="79" spans="1:8" ht="30" customHeight="1">
      <c r="A79" s="3" t="s">
        <v>2556</v>
      </c>
      <c r="B79" s="3" t="s">
        <v>2739</v>
      </c>
      <c r="C79" s="3" t="s">
        <v>1465</v>
      </c>
      <c r="D79" s="3" t="s">
        <v>2740</v>
      </c>
      <c r="E79" s="8">
        <v>2437</v>
      </c>
      <c r="F79" s="3" t="s">
        <v>1778</v>
      </c>
      <c r="G79" s="3" t="s">
        <v>1642</v>
      </c>
      <c r="H79" s="3" t="s">
        <v>2741</v>
      </c>
    </row>
    <row r="80" spans="1:8" ht="30" customHeight="1">
      <c r="A80" s="4" t="s">
        <v>2556</v>
      </c>
      <c r="B80" s="4" t="s">
        <v>2742</v>
      </c>
      <c r="C80" s="4" t="s">
        <v>1465</v>
      </c>
      <c r="D80" s="4" t="s">
        <v>2743</v>
      </c>
      <c r="E80" s="9">
        <v>2434</v>
      </c>
      <c r="F80" s="4" t="s">
        <v>1778</v>
      </c>
      <c r="G80" s="4" t="s">
        <v>1642</v>
      </c>
      <c r="H80" s="4" t="s">
        <v>2744</v>
      </c>
    </row>
    <row r="81" spans="1:8" ht="48" customHeight="1">
      <c r="A81" s="3" t="s">
        <v>2556</v>
      </c>
      <c r="B81" s="3" t="s">
        <v>2745</v>
      </c>
      <c r="C81" s="3" t="s">
        <v>1465</v>
      </c>
      <c r="D81" s="3" t="s">
        <v>2746</v>
      </c>
      <c r="E81" s="8">
        <v>1570</v>
      </c>
      <c r="F81" s="3" t="s">
        <v>1672</v>
      </c>
      <c r="G81" s="3" t="s">
        <v>1664</v>
      </c>
      <c r="H81" s="3" t="s">
        <v>2747</v>
      </c>
    </row>
    <row r="82" spans="1:8" ht="30" customHeight="1">
      <c r="A82" s="4" t="s">
        <v>2556</v>
      </c>
      <c r="B82" s="4" t="s">
        <v>2748</v>
      </c>
      <c r="C82" s="4" t="s">
        <v>1465</v>
      </c>
      <c r="D82" s="4" t="s">
        <v>2749</v>
      </c>
      <c r="E82" s="9">
        <v>1534</v>
      </c>
      <c r="F82" s="4" t="s">
        <v>1351</v>
      </c>
      <c r="G82" s="4" t="s">
        <v>1664</v>
      </c>
      <c r="H82" s="4" t="s">
        <v>2664</v>
      </c>
    </row>
    <row r="83" spans="1:8" ht="30" customHeight="1">
      <c r="A83" s="3" t="s">
        <v>2556</v>
      </c>
      <c r="B83" s="3" t="s">
        <v>2667</v>
      </c>
      <c r="C83" s="3" t="s">
        <v>1465</v>
      </c>
      <c r="D83" s="3" t="s">
        <v>2668</v>
      </c>
      <c r="E83" s="8">
        <v>1040</v>
      </c>
      <c r="F83" s="3" t="s">
        <v>1394</v>
      </c>
      <c r="G83" s="3" t="s">
        <v>1664</v>
      </c>
      <c r="H83" s="3" t="s">
        <v>2750</v>
      </c>
    </row>
    <row r="84" spans="1:8" ht="30" customHeight="1">
      <c r="A84" s="4" t="s">
        <v>2548</v>
      </c>
      <c r="B84" s="4" t="s">
        <v>2550</v>
      </c>
      <c r="C84" s="4" t="s">
        <v>1465</v>
      </c>
      <c r="D84" s="4" t="s">
        <v>2551</v>
      </c>
      <c r="E84" s="9">
        <v>2956</v>
      </c>
      <c r="F84" s="4" t="s">
        <v>1823</v>
      </c>
      <c r="G84" s="4" t="s">
        <v>1664</v>
      </c>
      <c r="H84" s="4" t="s">
        <v>2751</v>
      </c>
    </row>
    <row r="85" spans="1:8" ht="48" customHeight="1">
      <c r="A85" s="3" t="s">
        <v>2548</v>
      </c>
      <c r="B85" s="3" t="s">
        <v>2752</v>
      </c>
      <c r="C85" s="3" t="s">
        <v>1465</v>
      </c>
      <c r="D85" s="3" t="s">
        <v>2753</v>
      </c>
      <c r="E85" s="8">
        <v>1550</v>
      </c>
      <c r="F85" s="3" t="s">
        <v>2333</v>
      </c>
      <c r="G85" s="3" t="s">
        <v>1664</v>
      </c>
      <c r="H85" s="3" t="s">
        <v>2754</v>
      </c>
    </row>
    <row r="86" spans="1:8" ht="48" customHeight="1">
      <c r="A86" s="4" t="s">
        <v>2548</v>
      </c>
      <c r="B86" s="4" t="s">
        <v>2755</v>
      </c>
      <c r="C86" s="4" t="s">
        <v>1465</v>
      </c>
      <c r="D86" s="4" t="s">
        <v>2756</v>
      </c>
      <c r="E86" s="9">
        <v>1162</v>
      </c>
      <c r="F86" s="4" t="s">
        <v>2502</v>
      </c>
      <c r="G86" s="4" t="s">
        <v>1664</v>
      </c>
      <c r="H86" s="4" t="s">
        <v>2757</v>
      </c>
    </row>
    <row r="87" spans="1:8" ht="30" customHeight="1">
      <c r="A87" s="3" t="s">
        <v>2584</v>
      </c>
      <c r="B87" s="3" t="s">
        <v>1810</v>
      </c>
      <c r="C87" s="3" t="s">
        <v>1465</v>
      </c>
      <c r="D87" s="3" t="s">
        <v>1811</v>
      </c>
      <c r="E87" s="8">
        <v>1210</v>
      </c>
      <c r="F87" s="3" t="s">
        <v>1376</v>
      </c>
      <c r="G87" s="3" t="s">
        <v>1642</v>
      </c>
      <c r="H87" s="3" t="s">
        <v>2758</v>
      </c>
    </row>
    <row r="88" spans="1:8" ht="30" customHeight="1">
      <c r="A88" s="4" t="s">
        <v>2584</v>
      </c>
      <c r="B88" s="4" t="s">
        <v>1973</v>
      </c>
      <c r="C88" s="4" t="s">
        <v>1465</v>
      </c>
      <c r="D88" s="4" t="s">
        <v>1974</v>
      </c>
      <c r="E88" s="9">
        <v>1204</v>
      </c>
      <c r="F88" s="4" t="s">
        <v>1380</v>
      </c>
      <c r="G88" s="4" t="s">
        <v>1642</v>
      </c>
      <c r="H88" s="4" t="s">
        <v>2759</v>
      </c>
    </row>
    <row r="89" spans="1:8" ht="30" customHeight="1">
      <c r="A89" s="3" t="s">
        <v>2592</v>
      </c>
      <c r="B89" s="3" t="s">
        <v>2594</v>
      </c>
      <c r="C89" s="3" t="s">
        <v>1465</v>
      </c>
      <c r="D89" s="3" t="s">
        <v>2595</v>
      </c>
      <c r="E89" s="8">
        <v>1150</v>
      </c>
      <c r="F89" s="3" t="s">
        <v>1796</v>
      </c>
      <c r="G89" s="3" t="s">
        <v>1664</v>
      </c>
      <c r="H89" s="3" t="s">
        <v>2760</v>
      </c>
    </row>
    <row r="90" spans="1:8" ht="30" customHeight="1">
      <c r="A90" s="4" t="s">
        <v>2540</v>
      </c>
      <c r="B90" s="4" t="s">
        <v>1236</v>
      </c>
      <c r="C90" s="4" t="s">
        <v>1465</v>
      </c>
      <c r="D90" s="4" t="s">
        <v>2542</v>
      </c>
      <c r="E90" s="9">
        <v>3662</v>
      </c>
      <c r="F90" s="4" t="s">
        <v>2543</v>
      </c>
      <c r="G90" s="4" t="s">
        <v>1642</v>
      </c>
      <c r="H90" s="4" t="s">
        <v>2761</v>
      </c>
    </row>
    <row r="91" spans="1:8" ht="48" customHeight="1">
      <c r="A91" s="3" t="s">
        <v>2540</v>
      </c>
      <c r="B91" s="3" t="s">
        <v>2762</v>
      </c>
      <c r="C91" s="3" t="s">
        <v>1465</v>
      </c>
      <c r="D91" s="3" t="s">
        <v>2763</v>
      </c>
      <c r="E91" s="8">
        <v>2531</v>
      </c>
      <c r="F91" s="3" t="s">
        <v>1684</v>
      </c>
      <c r="G91" s="3" t="s">
        <v>1642</v>
      </c>
      <c r="H91" s="3" t="s">
        <v>2761</v>
      </c>
    </row>
    <row r="92" spans="1:8" ht="30" customHeight="1">
      <c r="A92" s="4" t="s">
        <v>2540</v>
      </c>
      <c r="B92" s="4" t="s">
        <v>2121</v>
      </c>
      <c r="C92" s="4" t="s">
        <v>1465</v>
      </c>
      <c r="D92" s="4" t="s">
        <v>2122</v>
      </c>
      <c r="E92" s="9">
        <v>1596</v>
      </c>
      <c r="F92" s="4" t="s">
        <v>1693</v>
      </c>
      <c r="G92" s="4" t="s">
        <v>1664</v>
      </c>
      <c r="H92" s="4" t="s">
        <v>2764</v>
      </c>
    </row>
    <row r="93" spans="1:8" ht="30" customHeight="1">
      <c r="A93" s="3" t="s">
        <v>2540</v>
      </c>
      <c r="B93" s="3" t="s">
        <v>2765</v>
      </c>
      <c r="C93" s="3" t="s">
        <v>1465</v>
      </c>
      <c r="D93" s="3" t="s">
        <v>2766</v>
      </c>
      <c r="E93" s="8">
        <v>1595</v>
      </c>
      <c r="F93" s="3" t="s">
        <v>2687</v>
      </c>
      <c r="G93" s="3" t="s">
        <v>1664</v>
      </c>
      <c r="H93" s="3" t="s">
        <v>2767</v>
      </c>
    </row>
    <row r="94" spans="1:8" ht="30" customHeight="1">
      <c r="A94" s="4" t="s">
        <v>2540</v>
      </c>
      <c r="B94" s="4" t="s">
        <v>2768</v>
      </c>
      <c r="C94" s="4" t="s">
        <v>1465</v>
      </c>
      <c r="D94" s="4" t="s">
        <v>2769</v>
      </c>
      <c r="E94" s="9">
        <v>1428</v>
      </c>
      <c r="F94" s="4" t="s">
        <v>1356</v>
      </c>
      <c r="G94" s="4" t="s">
        <v>1664</v>
      </c>
      <c r="H94" s="4" t="s">
        <v>2770</v>
      </c>
    </row>
    <row r="95" spans="1:8" ht="48" customHeight="1">
      <c r="A95" s="3" t="s">
        <v>2540</v>
      </c>
      <c r="B95" s="3" t="s">
        <v>2418</v>
      </c>
      <c r="C95" s="3" t="s">
        <v>1465</v>
      </c>
      <c r="D95" s="3" t="s">
        <v>2419</v>
      </c>
      <c r="E95" s="8">
        <v>1396</v>
      </c>
      <c r="F95" s="3" t="s">
        <v>1796</v>
      </c>
      <c r="G95" s="3" t="s">
        <v>1664</v>
      </c>
      <c r="H95" s="3" t="s">
        <v>2771</v>
      </c>
    </row>
    <row r="96" spans="1:8" ht="30" customHeight="1">
      <c r="A96" s="4" t="s">
        <v>2540</v>
      </c>
      <c r="B96" s="4" t="s">
        <v>2772</v>
      </c>
      <c r="C96" s="4" t="s">
        <v>1465</v>
      </c>
      <c r="D96" s="4" t="s">
        <v>2766</v>
      </c>
      <c r="E96" s="9">
        <v>1369</v>
      </c>
      <c r="F96" s="4" t="s">
        <v>2773</v>
      </c>
      <c r="G96" s="4" t="s">
        <v>1664</v>
      </c>
      <c r="H96" s="4" t="s">
        <v>2767</v>
      </c>
    </row>
    <row r="97" spans="1:8" ht="30" customHeight="1">
      <c r="A97" s="3" t="s">
        <v>2540</v>
      </c>
      <c r="B97" s="3" t="s">
        <v>2774</v>
      </c>
      <c r="C97" s="3" t="s">
        <v>1465</v>
      </c>
      <c r="D97" s="3" t="s">
        <v>2775</v>
      </c>
      <c r="E97" s="8">
        <v>1368</v>
      </c>
      <c r="F97" s="3" t="s">
        <v>1356</v>
      </c>
      <c r="G97" s="3" t="s">
        <v>1664</v>
      </c>
      <c r="H97" s="3" t="s">
        <v>2776</v>
      </c>
    </row>
    <row r="98" spans="1:8" ht="30" customHeight="1">
      <c r="A98" s="4" t="s">
        <v>2540</v>
      </c>
      <c r="B98" s="4" t="s">
        <v>2777</v>
      </c>
      <c r="C98" s="4" t="s">
        <v>1465</v>
      </c>
      <c r="D98" s="4" t="s">
        <v>2778</v>
      </c>
      <c r="E98" s="9">
        <v>1222</v>
      </c>
      <c r="F98" s="4" t="s">
        <v>1370</v>
      </c>
      <c r="G98" s="4" t="s">
        <v>1642</v>
      </c>
      <c r="H98" s="4" t="s">
        <v>2779</v>
      </c>
    </row>
    <row r="99" spans="1:8" ht="30" customHeight="1">
      <c r="A99" s="3" t="s">
        <v>2540</v>
      </c>
      <c r="B99" s="3" t="s">
        <v>2679</v>
      </c>
      <c r="C99" s="3" t="s">
        <v>1465</v>
      </c>
      <c r="D99" s="3" t="s">
        <v>2680</v>
      </c>
      <c r="E99" s="8">
        <v>1214</v>
      </c>
      <c r="F99" s="3" t="s">
        <v>1370</v>
      </c>
      <c r="G99" s="3" t="s">
        <v>1642</v>
      </c>
      <c r="H99" s="3" t="s">
        <v>2681</v>
      </c>
    </row>
    <row r="100" spans="1:8" ht="66" customHeight="1">
      <c r="A100" s="4" t="s">
        <v>2540</v>
      </c>
      <c r="B100" s="4" t="s">
        <v>2780</v>
      </c>
      <c r="C100" s="4" t="s">
        <v>1465</v>
      </c>
      <c r="D100" s="4" t="s">
        <v>2781</v>
      </c>
      <c r="E100" s="9">
        <v>1165</v>
      </c>
      <c r="F100" s="4" t="s">
        <v>1370</v>
      </c>
      <c r="G100" s="4" t="s">
        <v>1642</v>
      </c>
      <c r="H100" s="4" t="s">
        <v>2782</v>
      </c>
    </row>
    <row r="101" spans="1:8" ht="30" customHeight="1">
      <c r="A101" s="3" t="s">
        <v>2137</v>
      </c>
      <c r="B101" s="3" t="s">
        <v>2135</v>
      </c>
      <c r="C101" s="3" t="s">
        <v>1643</v>
      </c>
      <c r="D101" s="3" t="s">
        <v>2136</v>
      </c>
      <c r="E101" s="8">
        <v>1588</v>
      </c>
      <c r="F101" s="3" t="s">
        <v>1693</v>
      </c>
      <c r="G101" s="3" t="s">
        <v>1664</v>
      </c>
      <c r="H101" s="3" t="s">
        <v>2660</v>
      </c>
    </row>
    <row r="102" spans="1:8" ht="30" customHeight="1">
      <c r="A102" s="4" t="s">
        <v>2566</v>
      </c>
      <c r="B102" s="4" t="s">
        <v>2568</v>
      </c>
      <c r="C102" s="4" t="s">
        <v>1465</v>
      </c>
      <c r="D102" s="4" t="s">
        <v>2569</v>
      </c>
      <c r="E102" s="9">
        <v>1576</v>
      </c>
      <c r="F102" s="4" t="s">
        <v>1672</v>
      </c>
      <c r="G102" s="4" t="s">
        <v>1664</v>
      </c>
      <c r="H102" s="4" t="s">
        <v>2783</v>
      </c>
    </row>
    <row r="103" spans="1:8" ht="84" customHeight="1">
      <c r="A103" s="3" t="s">
        <v>2529</v>
      </c>
      <c r="B103" s="3" t="s">
        <v>573</v>
      </c>
      <c r="C103" s="3" t="s">
        <v>1465</v>
      </c>
      <c r="D103" s="3" t="s">
        <v>1651</v>
      </c>
      <c r="E103" s="8">
        <v>22262</v>
      </c>
      <c r="F103" s="3" t="s">
        <v>1641</v>
      </c>
      <c r="G103" s="3" t="s">
        <v>1642</v>
      </c>
      <c r="H103" s="3" t="s">
        <v>2784</v>
      </c>
    </row>
    <row r="104" spans="1:8" ht="48" customHeight="1">
      <c r="A104" s="4" t="s">
        <v>2529</v>
      </c>
      <c r="B104" s="4" t="s">
        <v>2785</v>
      </c>
      <c r="C104" s="4" t="s">
        <v>1465</v>
      </c>
      <c r="D104" s="4" t="s">
        <v>2786</v>
      </c>
      <c r="E104" s="9">
        <v>8785</v>
      </c>
      <c r="F104" s="4" t="s">
        <v>2177</v>
      </c>
      <c r="G104" s="4" t="s">
        <v>1642</v>
      </c>
      <c r="H104" s="4" t="s">
        <v>2787</v>
      </c>
    </row>
    <row r="105" spans="1:8" ht="48" customHeight="1">
      <c r="A105" s="3" t="s">
        <v>2529</v>
      </c>
      <c r="B105" s="3" t="s">
        <v>1009</v>
      </c>
      <c r="C105" s="3" t="s">
        <v>1465</v>
      </c>
      <c r="D105" s="3" t="s">
        <v>2788</v>
      </c>
      <c r="E105" s="8">
        <v>8730</v>
      </c>
      <c r="F105" s="3" t="s">
        <v>2177</v>
      </c>
      <c r="G105" s="3" t="s">
        <v>1642</v>
      </c>
      <c r="H105" s="3" t="s">
        <v>2789</v>
      </c>
    </row>
    <row r="106" spans="1:8" ht="48" customHeight="1">
      <c r="A106" s="4" t="s">
        <v>2529</v>
      </c>
      <c r="B106" s="4" t="s">
        <v>1682</v>
      </c>
      <c r="C106" s="4" t="s">
        <v>1465</v>
      </c>
      <c r="D106" s="4" t="s">
        <v>1683</v>
      </c>
      <c r="E106" s="9">
        <v>2531</v>
      </c>
      <c r="F106" s="4" t="s">
        <v>1684</v>
      </c>
      <c r="G106" s="4" t="s">
        <v>1642</v>
      </c>
      <c r="H106" s="4" t="s">
        <v>2790</v>
      </c>
    </row>
    <row r="107" spans="1:8" ht="48" customHeight="1">
      <c r="A107" s="3" t="s">
        <v>2529</v>
      </c>
      <c r="B107" s="3" t="s">
        <v>2791</v>
      </c>
      <c r="C107" s="3" t="s">
        <v>1465</v>
      </c>
      <c r="D107" s="3" t="s">
        <v>2792</v>
      </c>
      <c r="E107" s="8">
        <v>2506</v>
      </c>
      <c r="F107" s="3" t="s">
        <v>1684</v>
      </c>
      <c r="G107" s="3" t="s">
        <v>1642</v>
      </c>
      <c r="H107" s="3" t="s">
        <v>2793</v>
      </c>
    </row>
    <row r="108" spans="1:8" ht="48" customHeight="1">
      <c r="A108" s="4" t="s">
        <v>2529</v>
      </c>
      <c r="B108" s="4" t="s">
        <v>2794</v>
      </c>
      <c r="C108" s="4" t="s">
        <v>1465</v>
      </c>
      <c r="D108" s="4" t="s">
        <v>2795</v>
      </c>
      <c r="E108" s="9">
        <v>1491</v>
      </c>
      <c r="F108" s="4" t="s">
        <v>1354</v>
      </c>
      <c r="G108" s="4" t="s">
        <v>1664</v>
      </c>
      <c r="H108" s="4" t="s">
        <v>2793</v>
      </c>
    </row>
    <row r="109" spans="1:8" ht="48" customHeight="1">
      <c r="A109" s="3" t="s">
        <v>2529</v>
      </c>
      <c r="B109" s="3" t="s">
        <v>2796</v>
      </c>
      <c r="C109" s="3" t="s">
        <v>1465</v>
      </c>
      <c r="D109" s="3" t="s">
        <v>2797</v>
      </c>
      <c r="E109" s="8">
        <v>1471</v>
      </c>
      <c r="F109" s="3" t="s">
        <v>1354</v>
      </c>
      <c r="G109" s="3" t="s">
        <v>1664</v>
      </c>
      <c r="H109" s="3" t="s">
        <v>2798</v>
      </c>
    </row>
    <row r="110" spans="1:8" ht="30" customHeight="1">
      <c r="A110" s="4" t="s">
        <v>2586</v>
      </c>
      <c r="B110" s="4" t="s">
        <v>2019</v>
      </c>
      <c r="C110" s="4" t="s">
        <v>1465</v>
      </c>
      <c r="D110" s="4" t="s">
        <v>2020</v>
      </c>
      <c r="E110" s="9">
        <v>1205</v>
      </c>
      <c r="F110" s="4" t="s">
        <v>1380</v>
      </c>
      <c r="G110" s="4" t="s">
        <v>1642</v>
      </c>
      <c r="H110" s="4" t="s">
        <v>2799</v>
      </c>
    </row>
    <row r="111" spans="1:8" ht="48" customHeight="1">
      <c r="A111" s="3" t="s">
        <v>2596</v>
      </c>
      <c r="B111" s="3" t="s">
        <v>2598</v>
      </c>
      <c r="C111" s="3" t="s">
        <v>1465</v>
      </c>
      <c r="D111" s="3" t="s">
        <v>2599</v>
      </c>
      <c r="E111" s="8">
        <v>1047</v>
      </c>
      <c r="F111" s="3" t="s">
        <v>1394</v>
      </c>
      <c r="G111" s="3" t="s">
        <v>1664</v>
      </c>
      <c r="H111" s="3" t="s">
        <v>2800</v>
      </c>
    </row>
    <row r="112" spans="1:8" ht="30" customHeight="1">
      <c r="A112" s="4" t="s">
        <v>2544</v>
      </c>
      <c r="B112" s="4" t="s">
        <v>2546</v>
      </c>
      <c r="C112" s="4" t="s">
        <v>1465</v>
      </c>
      <c r="D112" s="4" t="s">
        <v>2547</v>
      </c>
      <c r="E112" s="9">
        <v>2960</v>
      </c>
      <c r="F112" s="4" t="s">
        <v>1823</v>
      </c>
      <c r="G112" s="4" t="s">
        <v>1664</v>
      </c>
      <c r="H112" s="4" t="s">
        <v>2801</v>
      </c>
    </row>
    <row r="113" spans="1:8" ht="30" customHeight="1">
      <c r="A113" s="3" t="s">
        <v>2544</v>
      </c>
      <c r="B113" s="3" t="s">
        <v>2620</v>
      </c>
      <c r="C113" s="3" t="s">
        <v>1465</v>
      </c>
      <c r="D113" s="3" t="s">
        <v>2621</v>
      </c>
      <c r="E113" s="8">
        <v>1601</v>
      </c>
      <c r="F113" s="3" t="s">
        <v>1693</v>
      </c>
      <c r="G113" s="3" t="s">
        <v>1664</v>
      </c>
      <c r="H113" s="3" t="s">
        <v>2802</v>
      </c>
    </row>
    <row r="114" spans="1:8" ht="48" customHeight="1">
      <c r="A114" s="4" t="s">
        <v>2544</v>
      </c>
      <c r="B114" s="4" t="s">
        <v>2803</v>
      </c>
      <c r="C114" s="4" t="s">
        <v>1465</v>
      </c>
      <c r="D114" s="4" t="s">
        <v>2804</v>
      </c>
      <c r="E114" s="9">
        <v>1546</v>
      </c>
      <c r="F114" s="4" t="s">
        <v>2333</v>
      </c>
      <c r="G114" s="4" t="s">
        <v>1664</v>
      </c>
      <c r="H114" s="4" t="s">
        <v>2805</v>
      </c>
    </row>
    <row r="115" spans="1:8" ht="48" customHeight="1">
      <c r="A115" s="3" t="s">
        <v>2139</v>
      </c>
      <c r="B115" s="3" t="s">
        <v>2141</v>
      </c>
      <c r="C115" s="3" t="s">
        <v>1643</v>
      </c>
      <c r="D115" s="3" t="s">
        <v>2142</v>
      </c>
      <c r="E115" s="8">
        <v>1229</v>
      </c>
      <c r="F115" s="3" t="s">
        <v>1370</v>
      </c>
      <c r="G115" s="3" t="s">
        <v>1642</v>
      </c>
      <c r="H115" s="3" t="s">
        <v>2806</v>
      </c>
    </row>
    <row r="116" spans="1:8" ht="48" customHeight="1">
      <c r="A116" s="4" t="s">
        <v>2139</v>
      </c>
      <c r="B116" s="4" t="s">
        <v>2143</v>
      </c>
      <c r="C116" s="4" t="s">
        <v>1643</v>
      </c>
      <c r="D116" s="4" t="s">
        <v>2807</v>
      </c>
      <c r="E116" s="9">
        <v>1228</v>
      </c>
      <c r="F116" s="4" t="s">
        <v>1370</v>
      </c>
      <c r="G116" s="4" t="s">
        <v>1642</v>
      </c>
      <c r="H116" s="4" t="s">
        <v>2808</v>
      </c>
    </row>
    <row r="117" spans="1:8" ht="30" customHeight="1">
      <c r="A117" s="3" t="s">
        <v>2139</v>
      </c>
      <c r="B117" s="3" t="s">
        <v>2809</v>
      </c>
      <c r="C117" s="3" t="s">
        <v>1465</v>
      </c>
      <c r="D117" s="3" t="s">
        <v>2810</v>
      </c>
      <c r="E117" s="8">
        <v>1597</v>
      </c>
      <c r="F117" s="3" t="s">
        <v>2333</v>
      </c>
      <c r="G117" s="3" t="s">
        <v>1664</v>
      </c>
      <c r="H117" s="3" t="s">
        <v>2811</v>
      </c>
    </row>
    <row r="118" spans="1:8" ht="48" customHeight="1">
      <c r="A118" s="4" t="s">
        <v>2139</v>
      </c>
      <c r="B118" s="4" t="s">
        <v>2812</v>
      </c>
      <c r="C118" s="4" t="s">
        <v>1465</v>
      </c>
      <c r="D118" s="4" t="s">
        <v>2813</v>
      </c>
      <c r="E118" s="9">
        <v>1568</v>
      </c>
      <c r="F118" s="4" t="s">
        <v>1672</v>
      </c>
      <c r="G118" s="4" t="s">
        <v>1664</v>
      </c>
      <c r="H118" s="4" t="s">
        <v>2814</v>
      </c>
    </row>
    <row r="119" spans="1:8" ht="48" customHeight="1">
      <c r="A119" s="3" t="s">
        <v>2139</v>
      </c>
      <c r="B119" s="3" t="s">
        <v>2815</v>
      </c>
      <c r="C119" s="3" t="s">
        <v>1465</v>
      </c>
      <c r="D119" s="3" t="s">
        <v>2816</v>
      </c>
      <c r="E119" s="8">
        <v>1545</v>
      </c>
      <c r="F119" s="3" t="s">
        <v>2333</v>
      </c>
      <c r="G119" s="3" t="s">
        <v>1664</v>
      </c>
      <c r="H119" s="3" t="s">
        <v>2817</v>
      </c>
    </row>
    <row r="120" spans="1:8" ht="30" customHeight="1">
      <c r="A120" s="4" t="s">
        <v>2139</v>
      </c>
      <c r="B120" s="4" t="s">
        <v>2818</v>
      </c>
      <c r="C120" s="4" t="s">
        <v>1465</v>
      </c>
      <c r="D120" s="4" t="s">
        <v>2819</v>
      </c>
      <c r="E120" s="9">
        <v>1534</v>
      </c>
      <c r="F120" s="4" t="s">
        <v>1351</v>
      </c>
      <c r="G120" s="4" t="s">
        <v>1664</v>
      </c>
      <c r="H120" s="4" t="s">
        <v>2820</v>
      </c>
    </row>
    <row r="121" spans="1:8" ht="30" customHeight="1">
      <c r="A121" s="3" t="s">
        <v>2139</v>
      </c>
      <c r="B121" s="3" t="s">
        <v>2821</v>
      </c>
      <c r="C121" s="3" t="s">
        <v>1465</v>
      </c>
      <c r="D121" s="3" t="s">
        <v>2822</v>
      </c>
      <c r="E121" s="8">
        <v>1396</v>
      </c>
      <c r="F121" s="3" t="s">
        <v>1796</v>
      </c>
      <c r="G121" s="3" t="s">
        <v>1664</v>
      </c>
      <c r="H121" s="3" t="s">
        <v>2823</v>
      </c>
    </row>
    <row r="122" spans="1:8" ht="30" customHeight="1">
      <c r="A122" s="4" t="s">
        <v>2139</v>
      </c>
      <c r="B122" s="4" t="s">
        <v>2824</v>
      </c>
      <c r="C122" s="4" t="s">
        <v>1465</v>
      </c>
      <c r="D122" s="4" t="s">
        <v>2825</v>
      </c>
      <c r="E122" s="9">
        <v>1222</v>
      </c>
      <c r="F122" s="4" t="s">
        <v>1370</v>
      </c>
      <c r="G122" s="4" t="s">
        <v>1642</v>
      </c>
      <c r="H122" s="4" t="s">
        <v>2826</v>
      </c>
    </row>
    <row r="123" spans="1:8" ht="48" customHeight="1">
      <c r="A123" s="3" t="s">
        <v>2139</v>
      </c>
      <c r="B123" s="3" t="s">
        <v>2827</v>
      </c>
      <c r="C123" s="3" t="s">
        <v>1465</v>
      </c>
      <c r="D123" s="3" t="s">
        <v>2828</v>
      </c>
      <c r="E123" s="8">
        <v>1050</v>
      </c>
      <c r="F123" s="3" t="s">
        <v>1394</v>
      </c>
      <c r="G123" s="3" t="s">
        <v>1664</v>
      </c>
      <c r="H123" s="3" t="s">
        <v>2829</v>
      </c>
    </row>
    <row r="124" spans="1:8" ht="48" customHeight="1">
      <c r="A124" s="4" t="s">
        <v>2139</v>
      </c>
      <c r="B124" s="4" t="s">
        <v>2830</v>
      </c>
      <c r="C124" s="4" t="s">
        <v>1465</v>
      </c>
      <c r="D124" s="4" t="s">
        <v>2831</v>
      </c>
      <c r="E124" s="9">
        <v>1050</v>
      </c>
      <c r="F124" s="4" t="s">
        <v>1394</v>
      </c>
      <c r="G124" s="4" t="s">
        <v>1664</v>
      </c>
      <c r="H124" s="4" t="s">
        <v>2832</v>
      </c>
    </row>
    <row r="125" spans="1:8" ht="66" customHeight="1">
      <c r="A125" s="3" t="s">
        <v>2139</v>
      </c>
      <c r="B125" s="3" t="s">
        <v>2833</v>
      </c>
      <c r="C125" s="3" t="s">
        <v>1465</v>
      </c>
      <c r="D125" s="3" t="s">
        <v>2834</v>
      </c>
      <c r="E125" s="8">
        <v>1023</v>
      </c>
      <c r="F125" s="3" t="s">
        <v>1396</v>
      </c>
      <c r="G125" s="3" t="s">
        <v>1642</v>
      </c>
      <c r="H125" s="3" t="s">
        <v>2835</v>
      </c>
    </row>
    <row r="126" spans="1:8" ht="48" customHeight="1">
      <c r="A126" s="4" t="s">
        <v>2113</v>
      </c>
      <c r="B126" s="4" t="s">
        <v>1855</v>
      </c>
      <c r="C126" s="4" t="s">
        <v>1643</v>
      </c>
      <c r="D126" s="4" t="s">
        <v>1856</v>
      </c>
      <c r="E126" s="9">
        <v>3976</v>
      </c>
      <c r="F126" s="4" t="s">
        <v>1857</v>
      </c>
      <c r="G126" s="4" t="s">
        <v>1642</v>
      </c>
      <c r="H126" s="4" t="s">
        <v>2836</v>
      </c>
    </row>
    <row r="127" spans="1:8" ht="66" customHeight="1">
      <c r="A127" s="3" t="s">
        <v>2080</v>
      </c>
      <c r="B127" s="3" t="s">
        <v>2082</v>
      </c>
      <c r="C127" s="3" t="s">
        <v>1643</v>
      </c>
      <c r="D127" s="3" t="s">
        <v>2083</v>
      </c>
      <c r="E127" s="8">
        <v>15778</v>
      </c>
      <c r="F127" s="3" t="s">
        <v>2084</v>
      </c>
      <c r="G127" s="3" t="s">
        <v>1642</v>
      </c>
      <c r="H127" s="3" t="s">
        <v>2837</v>
      </c>
    </row>
    <row r="128" spans="1:8" ht="30" customHeight="1">
      <c r="A128" s="4" t="s">
        <v>2080</v>
      </c>
      <c r="B128" s="4" t="s">
        <v>2838</v>
      </c>
      <c r="C128" s="4" t="s">
        <v>1643</v>
      </c>
      <c r="D128" s="4" t="s">
        <v>2839</v>
      </c>
      <c r="E128" s="9">
        <v>2772</v>
      </c>
      <c r="F128" s="4" t="s">
        <v>1865</v>
      </c>
      <c r="G128" s="4" t="s">
        <v>1642</v>
      </c>
      <c r="H128" s="4" t="s">
        <v>2840</v>
      </c>
    </row>
    <row r="129" spans="1:8" ht="30" customHeight="1">
      <c r="A129" s="3" t="s">
        <v>2080</v>
      </c>
      <c r="B129" s="3" t="s">
        <v>2125</v>
      </c>
      <c r="C129" s="3" t="s">
        <v>1643</v>
      </c>
      <c r="D129" s="3" t="s">
        <v>2126</v>
      </c>
      <c r="E129" s="8">
        <v>1593</v>
      </c>
      <c r="F129" s="3" t="s">
        <v>1693</v>
      </c>
      <c r="G129" s="3" t="s">
        <v>1664</v>
      </c>
      <c r="H129" s="3" t="s">
        <v>2682</v>
      </c>
    </row>
    <row r="130" spans="1:8" ht="84" customHeight="1">
      <c r="A130" s="4" t="s">
        <v>2080</v>
      </c>
      <c r="B130" s="4" t="s">
        <v>2841</v>
      </c>
      <c r="C130" s="4" t="s">
        <v>1465</v>
      </c>
      <c r="D130" s="4" t="s">
        <v>2842</v>
      </c>
      <c r="E130" s="9">
        <v>21627</v>
      </c>
      <c r="F130" s="4" t="s">
        <v>2843</v>
      </c>
      <c r="G130" s="4" t="s">
        <v>1642</v>
      </c>
      <c r="H130" s="4" t="s">
        <v>2844</v>
      </c>
    </row>
    <row r="131" spans="1:8" ht="66" customHeight="1">
      <c r="A131" s="3" t="s">
        <v>2080</v>
      </c>
      <c r="B131" s="3" t="s">
        <v>1245</v>
      </c>
      <c r="C131" s="3" t="s">
        <v>1465</v>
      </c>
      <c r="D131" s="3" t="s">
        <v>2845</v>
      </c>
      <c r="E131" s="8">
        <v>18598</v>
      </c>
      <c r="F131" s="3" t="s">
        <v>2846</v>
      </c>
      <c r="G131" s="3" t="s">
        <v>1642</v>
      </c>
      <c r="H131" s="3" t="s">
        <v>2847</v>
      </c>
    </row>
    <row r="132" spans="1:8" ht="48" customHeight="1">
      <c r="A132" s="4" t="s">
        <v>2080</v>
      </c>
      <c r="B132" s="4" t="s">
        <v>1661</v>
      </c>
      <c r="C132" s="4" t="s">
        <v>1465</v>
      </c>
      <c r="D132" s="4" t="s">
        <v>1662</v>
      </c>
      <c r="E132" s="9">
        <v>8727</v>
      </c>
      <c r="F132" s="4" t="s">
        <v>1663</v>
      </c>
      <c r="G132" s="4" t="s">
        <v>1664</v>
      </c>
      <c r="H132" s="4" t="s">
        <v>2848</v>
      </c>
    </row>
    <row r="133" spans="1:8" ht="48" customHeight="1">
      <c r="A133" s="3" t="s">
        <v>2080</v>
      </c>
      <c r="B133" s="3" t="s">
        <v>2849</v>
      </c>
      <c r="C133" s="3" t="s">
        <v>1465</v>
      </c>
      <c r="D133" s="3" t="s">
        <v>2850</v>
      </c>
      <c r="E133" s="8">
        <v>7103</v>
      </c>
      <c r="F133" s="3" t="s">
        <v>2851</v>
      </c>
      <c r="G133" s="3" t="s">
        <v>1642</v>
      </c>
      <c r="H133" s="3" t="s">
        <v>2852</v>
      </c>
    </row>
    <row r="134" spans="1:8" ht="30" customHeight="1">
      <c r="A134" s="4" t="s">
        <v>2080</v>
      </c>
      <c r="B134" s="4" t="s">
        <v>2853</v>
      </c>
      <c r="C134" s="4" t="s">
        <v>1465</v>
      </c>
      <c r="D134" s="4" t="s">
        <v>2854</v>
      </c>
      <c r="E134" s="9">
        <v>3839</v>
      </c>
      <c r="F134" s="4" t="s">
        <v>2855</v>
      </c>
      <c r="G134" s="4" t="s">
        <v>1642</v>
      </c>
      <c r="H134" s="4" t="s">
        <v>2847</v>
      </c>
    </row>
    <row r="135" spans="1:8" ht="30" customHeight="1">
      <c r="A135" s="3" t="s">
        <v>2080</v>
      </c>
      <c r="B135" s="3" t="s">
        <v>2856</v>
      </c>
      <c r="C135" s="3" t="s">
        <v>1465</v>
      </c>
      <c r="D135" s="3" t="s">
        <v>2857</v>
      </c>
      <c r="E135" s="8">
        <v>2599</v>
      </c>
      <c r="F135" s="3" t="s">
        <v>1690</v>
      </c>
      <c r="G135" s="3" t="s">
        <v>1642</v>
      </c>
      <c r="H135" s="3" t="s">
        <v>2858</v>
      </c>
    </row>
    <row r="136" spans="1:8" ht="48" customHeight="1">
      <c r="A136" s="4" t="s">
        <v>2080</v>
      </c>
      <c r="B136" s="4" t="s">
        <v>2859</v>
      </c>
      <c r="C136" s="4" t="s">
        <v>1465</v>
      </c>
      <c r="D136" s="4" t="s">
        <v>2860</v>
      </c>
      <c r="E136" s="9">
        <v>1593</v>
      </c>
      <c r="F136" s="4" t="s">
        <v>2687</v>
      </c>
      <c r="G136" s="4" t="s">
        <v>1664</v>
      </c>
      <c r="H136" s="4" t="s">
        <v>2861</v>
      </c>
    </row>
    <row r="137" spans="1:8" ht="30" customHeight="1">
      <c r="A137" s="3" t="s">
        <v>2080</v>
      </c>
      <c r="B137" s="3" t="s">
        <v>2685</v>
      </c>
      <c r="C137" s="3" t="s">
        <v>1465</v>
      </c>
      <c r="D137" s="3" t="s">
        <v>2686</v>
      </c>
      <c r="E137" s="8">
        <v>1590</v>
      </c>
      <c r="F137" s="3" t="s">
        <v>2687</v>
      </c>
      <c r="G137" s="3" t="s">
        <v>1664</v>
      </c>
      <c r="H137" s="3" t="s">
        <v>2861</v>
      </c>
    </row>
    <row r="138" spans="1:8" ht="30" customHeight="1">
      <c r="A138" s="4" t="s">
        <v>2080</v>
      </c>
      <c r="B138" s="4" t="s">
        <v>2689</v>
      </c>
      <c r="C138" s="4" t="s">
        <v>1465</v>
      </c>
      <c r="D138" s="4" t="s">
        <v>2690</v>
      </c>
      <c r="E138" s="9">
        <v>1207</v>
      </c>
      <c r="F138" s="4" t="s">
        <v>1376</v>
      </c>
      <c r="G138" s="4" t="s">
        <v>1642</v>
      </c>
      <c r="H138" s="4" t="s">
        <v>2862</v>
      </c>
    </row>
    <row r="139" spans="1:8" ht="30" customHeight="1">
      <c r="A139" s="3" t="s">
        <v>2562</v>
      </c>
      <c r="B139" s="3" t="s">
        <v>2564</v>
      </c>
      <c r="C139" s="3" t="s">
        <v>1465</v>
      </c>
      <c r="D139" s="3" t="s">
        <v>2565</v>
      </c>
      <c r="E139" s="8">
        <v>2439</v>
      </c>
      <c r="F139" s="3" t="s">
        <v>1778</v>
      </c>
      <c r="G139" s="3" t="s">
        <v>1642</v>
      </c>
      <c r="H139" s="3" t="s">
        <v>2863</v>
      </c>
    </row>
    <row r="140" spans="1:8" ht="48" customHeight="1">
      <c r="A140" s="4" t="s">
        <v>2562</v>
      </c>
      <c r="B140" s="4" t="s">
        <v>2864</v>
      </c>
      <c r="C140" s="4" t="s">
        <v>1465</v>
      </c>
      <c r="D140" s="4" t="s">
        <v>2865</v>
      </c>
      <c r="E140" s="9">
        <v>1534</v>
      </c>
      <c r="F140" s="4" t="s">
        <v>1351</v>
      </c>
      <c r="G140" s="4" t="s">
        <v>1664</v>
      </c>
      <c r="H140" s="4" t="s">
        <v>2866</v>
      </c>
    </row>
    <row r="141" spans="1:8" ht="30" customHeight="1">
      <c r="A141" s="3" t="s">
        <v>2562</v>
      </c>
      <c r="B141" s="3" t="s">
        <v>2867</v>
      </c>
      <c r="C141" s="3" t="s">
        <v>1465</v>
      </c>
      <c r="D141" s="3" t="s">
        <v>2868</v>
      </c>
      <c r="E141" s="8">
        <v>1230</v>
      </c>
      <c r="F141" s="3" t="s">
        <v>1370</v>
      </c>
      <c r="G141" s="3" t="s">
        <v>1642</v>
      </c>
      <c r="H141" s="3" t="s">
        <v>2869</v>
      </c>
    </row>
    <row r="142" spans="1:8" ht="48" customHeight="1">
      <c r="A142" s="4" t="s">
        <v>2562</v>
      </c>
      <c r="B142" s="4" t="s">
        <v>2141</v>
      </c>
      <c r="C142" s="4" t="s">
        <v>1465</v>
      </c>
      <c r="D142" s="4" t="s">
        <v>2142</v>
      </c>
      <c r="E142" s="9">
        <v>1229</v>
      </c>
      <c r="F142" s="4" t="s">
        <v>1370</v>
      </c>
      <c r="G142" s="4" t="s">
        <v>1642</v>
      </c>
      <c r="H142" s="4" t="s">
        <v>2870</v>
      </c>
    </row>
    <row r="143" spans="1:8" ht="30" customHeight="1">
      <c r="A143" s="3" t="s">
        <v>2282</v>
      </c>
      <c r="B143" s="3" t="s">
        <v>2284</v>
      </c>
      <c r="C143" s="3" t="s">
        <v>1465</v>
      </c>
      <c r="D143" s="3" t="s">
        <v>2285</v>
      </c>
      <c r="E143" s="8">
        <v>2534</v>
      </c>
      <c r="F143" s="3" t="s">
        <v>1684</v>
      </c>
      <c r="G143" s="3" t="s">
        <v>1642</v>
      </c>
      <c r="H143" s="3" t="s">
        <v>2871</v>
      </c>
    </row>
    <row r="144" spans="1:8" ht="30" customHeight="1">
      <c r="A144" s="4" t="s">
        <v>2286</v>
      </c>
      <c r="B144" s="4" t="s">
        <v>739</v>
      </c>
      <c r="C144" s="4" t="s">
        <v>1465</v>
      </c>
      <c r="D144" s="4" t="s">
        <v>1890</v>
      </c>
      <c r="E144" s="9">
        <v>2533</v>
      </c>
      <c r="F144" s="4" t="s">
        <v>1684</v>
      </c>
      <c r="G144" s="4" t="s">
        <v>1642</v>
      </c>
      <c r="H144" s="4" t="s">
        <v>2872</v>
      </c>
    </row>
    <row r="145" spans="1:8" ht="30" customHeight="1">
      <c r="A145" s="3" t="s">
        <v>2494</v>
      </c>
      <c r="B145" s="3" t="s">
        <v>2496</v>
      </c>
      <c r="C145" s="3" t="s">
        <v>1465</v>
      </c>
      <c r="D145" s="3" t="s">
        <v>2497</v>
      </c>
      <c r="E145" s="8">
        <v>1159</v>
      </c>
      <c r="F145" s="3" t="s">
        <v>1356</v>
      </c>
      <c r="G145" s="3" t="s">
        <v>1664</v>
      </c>
      <c r="H145" s="3" t="s">
        <v>2873</v>
      </c>
    </row>
    <row r="146" spans="1:8" ht="30" customHeight="1">
      <c r="A146" s="4" t="s">
        <v>2494</v>
      </c>
      <c r="B146" s="4" t="s">
        <v>2874</v>
      </c>
      <c r="C146" s="4" t="s">
        <v>1465</v>
      </c>
      <c r="D146" s="4" t="s">
        <v>2875</v>
      </c>
      <c r="E146" s="9">
        <v>1035</v>
      </c>
      <c r="F146" s="4" t="s">
        <v>1356</v>
      </c>
      <c r="G146" s="4" t="s">
        <v>1664</v>
      </c>
      <c r="H146" s="4" t="s">
        <v>2876</v>
      </c>
    </row>
    <row r="147" spans="1:8" ht="48" customHeight="1">
      <c r="A147" s="3" t="s">
        <v>786</v>
      </c>
      <c r="B147" s="3" t="s">
        <v>1874</v>
      </c>
      <c r="C147" s="3" t="s">
        <v>1643</v>
      </c>
      <c r="D147" s="3" t="s">
        <v>1875</v>
      </c>
      <c r="E147" s="8">
        <v>2654</v>
      </c>
      <c r="F147" s="3" t="s">
        <v>1681</v>
      </c>
      <c r="G147" s="3" t="s">
        <v>1664</v>
      </c>
      <c r="H147" s="3" t="s">
        <v>2877</v>
      </c>
    </row>
    <row r="148" spans="1:8" ht="48" customHeight="1">
      <c r="A148" s="4" t="s">
        <v>786</v>
      </c>
      <c r="B148" s="4" t="s">
        <v>2878</v>
      </c>
      <c r="C148" s="4" t="s">
        <v>1643</v>
      </c>
      <c r="D148" s="4" t="s">
        <v>2879</v>
      </c>
      <c r="E148" s="9">
        <v>2654</v>
      </c>
      <c r="F148" s="4" t="s">
        <v>1681</v>
      </c>
      <c r="G148" s="4" t="s">
        <v>1664</v>
      </c>
      <c r="H148" s="4" t="s">
        <v>2877</v>
      </c>
    </row>
    <row r="149" spans="1:8" ht="48" customHeight="1">
      <c r="A149" s="3" t="s">
        <v>786</v>
      </c>
      <c r="B149" s="3" t="s">
        <v>2880</v>
      </c>
      <c r="C149" s="3" t="s">
        <v>1643</v>
      </c>
      <c r="D149" s="3" t="s">
        <v>2881</v>
      </c>
      <c r="E149" s="8">
        <v>2653</v>
      </c>
      <c r="F149" s="3" t="s">
        <v>1681</v>
      </c>
      <c r="G149" s="3" t="s">
        <v>1664</v>
      </c>
      <c r="H149" s="3" t="s">
        <v>2877</v>
      </c>
    </row>
    <row r="150" spans="1:8" ht="48" customHeight="1">
      <c r="A150" s="4" t="s">
        <v>786</v>
      </c>
      <c r="B150" s="4" t="s">
        <v>2882</v>
      </c>
      <c r="C150" s="4" t="s">
        <v>1643</v>
      </c>
      <c r="D150" s="4" t="s">
        <v>2883</v>
      </c>
      <c r="E150" s="9">
        <v>2653</v>
      </c>
      <c r="F150" s="4" t="s">
        <v>1681</v>
      </c>
      <c r="G150" s="4" t="s">
        <v>1664</v>
      </c>
      <c r="H150" s="4" t="s">
        <v>2877</v>
      </c>
    </row>
    <row r="151" spans="1:8" ht="30" customHeight="1">
      <c r="A151" s="3" t="s">
        <v>786</v>
      </c>
      <c r="B151" s="3" t="s">
        <v>2884</v>
      </c>
      <c r="C151" s="3" t="s">
        <v>1465</v>
      </c>
      <c r="D151" s="3" t="s">
        <v>2885</v>
      </c>
      <c r="E151" s="8">
        <v>2655</v>
      </c>
      <c r="F151" s="3" t="s">
        <v>1681</v>
      </c>
      <c r="G151" s="3" t="s">
        <v>1664</v>
      </c>
      <c r="H151" s="3" t="s">
        <v>2886</v>
      </c>
    </row>
    <row r="152" spans="1:8" ht="30" customHeight="1">
      <c r="A152" s="4" t="s">
        <v>223</v>
      </c>
      <c r="B152" s="4" t="s">
        <v>2150</v>
      </c>
      <c r="C152" s="4" t="s">
        <v>1643</v>
      </c>
      <c r="D152" s="4" t="s">
        <v>2151</v>
      </c>
      <c r="E152" s="9">
        <v>2440</v>
      </c>
      <c r="F152" s="4" t="s">
        <v>1778</v>
      </c>
      <c r="G152" s="4" t="s">
        <v>1642</v>
      </c>
      <c r="H152" s="4" t="s">
        <v>2887</v>
      </c>
    </row>
    <row r="153" spans="1:8" ht="30" customHeight="1">
      <c r="A153" s="3" t="s">
        <v>223</v>
      </c>
      <c r="B153" s="3" t="s">
        <v>2298</v>
      </c>
      <c r="C153" s="3" t="s">
        <v>1643</v>
      </c>
      <c r="D153" s="3" t="s">
        <v>2299</v>
      </c>
      <c r="E153" s="8">
        <v>2435</v>
      </c>
      <c r="F153" s="3" t="s">
        <v>1778</v>
      </c>
      <c r="G153" s="3" t="s">
        <v>1642</v>
      </c>
      <c r="H153" s="3" t="s">
        <v>2888</v>
      </c>
    </row>
    <row r="154" spans="1:8" ht="30" customHeight="1">
      <c r="A154" s="4" t="s">
        <v>223</v>
      </c>
      <c r="B154" s="4" t="s">
        <v>2147</v>
      </c>
      <c r="C154" s="4" t="s">
        <v>1643</v>
      </c>
      <c r="D154" s="4" t="s">
        <v>2889</v>
      </c>
      <c r="E154" s="9">
        <v>2435</v>
      </c>
      <c r="F154" s="4" t="s">
        <v>1778</v>
      </c>
      <c r="G154" s="4" t="s">
        <v>1642</v>
      </c>
      <c r="H154" s="4" t="s">
        <v>2890</v>
      </c>
    </row>
    <row r="155" spans="1:8" ht="48" customHeight="1">
      <c r="A155" s="3" t="s">
        <v>223</v>
      </c>
      <c r="B155" s="3" t="s">
        <v>2891</v>
      </c>
      <c r="C155" s="3" t="s">
        <v>1643</v>
      </c>
      <c r="D155" s="3" t="s">
        <v>2892</v>
      </c>
      <c r="E155" s="8">
        <v>2435</v>
      </c>
      <c r="F155" s="3" t="s">
        <v>1778</v>
      </c>
      <c r="G155" s="3" t="s">
        <v>1642</v>
      </c>
      <c r="H155" s="3" t="s">
        <v>2893</v>
      </c>
    </row>
    <row r="156" spans="1:8" ht="30" customHeight="1">
      <c r="A156" s="4" t="s">
        <v>223</v>
      </c>
      <c r="B156" s="4" t="s">
        <v>2157</v>
      </c>
      <c r="C156" s="4" t="s">
        <v>1643</v>
      </c>
      <c r="D156" s="4" t="s">
        <v>2158</v>
      </c>
      <c r="E156" s="9">
        <v>2435</v>
      </c>
      <c r="F156" s="4" t="s">
        <v>1778</v>
      </c>
      <c r="G156" s="4" t="s">
        <v>1642</v>
      </c>
      <c r="H156" s="4" t="s">
        <v>2894</v>
      </c>
    </row>
    <row r="157" spans="1:8" ht="30" customHeight="1">
      <c r="A157" s="3" t="s">
        <v>223</v>
      </c>
      <c r="B157" s="3" t="s">
        <v>2154</v>
      </c>
      <c r="C157" s="3" t="s">
        <v>1643</v>
      </c>
      <c r="D157" s="3" t="s">
        <v>2155</v>
      </c>
      <c r="E157" s="8">
        <v>2435</v>
      </c>
      <c r="F157" s="3" t="s">
        <v>1778</v>
      </c>
      <c r="G157" s="3" t="s">
        <v>1642</v>
      </c>
      <c r="H157" s="3" t="s">
        <v>2895</v>
      </c>
    </row>
    <row r="158" spans="1:8" ht="30" customHeight="1">
      <c r="A158" s="4" t="s">
        <v>223</v>
      </c>
      <c r="B158" s="4" t="s">
        <v>2896</v>
      </c>
      <c r="C158" s="4" t="s">
        <v>1643</v>
      </c>
      <c r="D158" s="4" t="s">
        <v>2897</v>
      </c>
      <c r="E158" s="9">
        <v>2435</v>
      </c>
      <c r="F158" s="4" t="s">
        <v>1778</v>
      </c>
      <c r="G158" s="4" t="s">
        <v>1642</v>
      </c>
      <c r="H158" s="4" t="s">
        <v>2898</v>
      </c>
    </row>
    <row r="159" spans="1:8" ht="48" customHeight="1">
      <c r="A159" s="3" t="s">
        <v>887</v>
      </c>
      <c r="B159" s="3" t="s">
        <v>1652</v>
      </c>
      <c r="C159" s="3" t="s">
        <v>1465</v>
      </c>
      <c r="D159" s="3" t="s">
        <v>1653</v>
      </c>
      <c r="E159" s="8">
        <v>6337</v>
      </c>
      <c r="F159" s="3" t="s">
        <v>1654</v>
      </c>
      <c r="G159" s="3" t="s">
        <v>1642</v>
      </c>
      <c r="H159" s="3" t="s">
        <v>2899</v>
      </c>
    </row>
    <row r="160" spans="1:8" ht="48" customHeight="1">
      <c r="A160" s="4" t="s">
        <v>887</v>
      </c>
      <c r="B160" s="4" t="s">
        <v>2900</v>
      </c>
      <c r="C160" s="4" t="s">
        <v>1465</v>
      </c>
      <c r="D160" s="4" t="s">
        <v>2901</v>
      </c>
      <c r="E160" s="9">
        <v>6333</v>
      </c>
      <c r="F160" s="4" t="s">
        <v>1654</v>
      </c>
      <c r="G160" s="4" t="s">
        <v>1642</v>
      </c>
      <c r="H160" s="4" t="s">
        <v>2902</v>
      </c>
    </row>
    <row r="161" spans="1:8" ht="48" customHeight="1">
      <c r="A161" s="3" t="s">
        <v>887</v>
      </c>
      <c r="B161" s="3" t="s">
        <v>1656</v>
      </c>
      <c r="C161" s="3" t="s">
        <v>1465</v>
      </c>
      <c r="D161" s="3" t="s">
        <v>1657</v>
      </c>
      <c r="E161" s="8">
        <v>6330</v>
      </c>
      <c r="F161" s="3" t="s">
        <v>1654</v>
      </c>
      <c r="G161" s="3" t="s">
        <v>1642</v>
      </c>
      <c r="H161" s="3" t="s">
        <v>2903</v>
      </c>
    </row>
    <row r="162" spans="1:8" ht="48" customHeight="1">
      <c r="A162" s="4" t="s">
        <v>887</v>
      </c>
      <c r="B162" s="4" t="s">
        <v>2904</v>
      </c>
      <c r="C162" s="4" t="s">
        <v>1465</v>
      </c>
      <c r="D162" s="4" t="s">
        <v>2905</v>
      </c>
      <c r="E162" s="9">
        <v>6312</v>
      </c>
      <c r="F162" s="4" t="s">
        <v>1654</v>
      </c>
      <c r="G162" s="4" t="s">
        <v>1642</v>
      </c>
      <c r="H162" s="4" t="s">
        <v>2906</v>
      </c>
    </row>
    <row r="163" spans="1:8" ht="48" customHeight="1">
      <c r="A163" s="3" t="s">
        <v>887</v>
      </c>
      <c r="B163" s="3" t="s">
        <v>2907</v>
      </c>
      <c r="C163" s="3" t="s">
        <v>1465</v>
      </c>
      <c r="D163" s="3" t="s">
        <v>2908</v>
      </c>
      <c r="E163" s="8">
        <v>6311</v>
      </c>
      <c r="F163" s="3" t="s">
        <v>1654</v>
      </c>
      <c r="G163" s="3" t="s">
        <v>1642</v>
      </c>
      <c r="H163" s="3" t="s">
        <v>2909</v>
      </c>
    </row>
    <row r="164" spans="1:8" ht="48" customHeight="1">
      <c r="A164" s="4" t="s">
        <v>887</v>
      </c>
      <c r="B164" s="4" t="s">
        <v>1658</v>
      </c>
      <c r="C164" s="4" t="s">
        <v>1465</v>
      </c>
      <c r="D164" s="4" t="s">
        <v>1659</v>
      </c>
      <c r="E164" s="9">
        <v>6310</v>
      </c>
      <c r="F164" s="4" t="s">
        <v>1654</v>
      </c>
      <c r="G164" s="4" t="s">
        <v>1642</v>
      </c>
      <c r="H164" s="4" t="s">
        <v>2910</v>
      </c>
    </row>
    <row r="165" spans="1:8" ht="48" customHeight="1">
      <c r="A165" s="3" t="s">
        <v>887</v>
      </c>
      <c r="B165" s="3" t="s">
        <v>2911</v>
      </c>
      <c r="C165" s="3" t="s">
        <v>1465</v>
      </c>
      <c r="D165" s="3" t="s">
        <v>2912</v>
      </c>
      <c r="E165" s="8">
        <v>4226</v>
      </c>
      <c r="F165" s="3" t="s">
        <v>2913</v>
      </c>
      <c r="G165" s="3" t="s">
        <v>1664</v>
      </c>
      <c r="H165" s="3" t="s">
        <v>2914</v>
      </c>
    </row>
    <row r="166" spans="1:8" ht="48" customHeight="1">
      <c r="A166" s="4" t="s">
        <v>887</v>
      </c>
      <c r="B166" s="4" t="s">
        <v>2915</v>
      </c>
      <c r="C166" s="4" t="s">
        <v>1465</v>
      </c>
      <c r="D166" s="4" t="s">
        <v>2916</v>
      </c>
      <c r="E166" s="9">
        <v>4224</v>
      </c>
      <c r="F166" s="4" t="s">
        <v>2913</v>
      </c>
      <c r="G166" s="4" t="s">
        <v>1664</v>
      </c>
      <c r="H166" s="4" t="s">
        <v>2917</v>
      </c>
    </row>
    <row r="167" spans="1:8" ht="48" customHeight="1">
      <c r="A167" s="3" t="s">
        <v>887</v>
      </c>
      <c r="B167" s="3" t="s">
        <v>2918</v>
      </c>
      <c r="C167" s="3" t="s">
        <v>1465</v>
      </c>
      <c r="D167" s="3" t="s">
        <v>1860</v>
      </c>
      <c r="E167" s="8">
        <v>4098</v>
      </c>
      <c r="F167" s="3" t="s">
        <v>2919</v>
      </c>
      <c r="G167" s="3" t="s">
        <v>1664</v>
      </c>
      <c r="H167" s="3" t="s">
        <v>2920</v>
      </c>
    </row>
    <row r="168" spans="1:8" ht="48" customHeight="1">
      <c r="A168" s="4" t="s">
        <v>887</v>
      </c>
      <c r="B168" s="4" t="s">
        <v>586</v>
      </c>
      <c r="C168" s="4" t="s">
        <v>1465</v>
      </c>
      <c r="D168" s="4" t="s">
        <v>1860</v>
      </c>
      <c r="E168" s="9">
        <v>3860</v>
      </c>
      <c r="F168" s="4" t="s">
        <v>1861</v>
      </c>
      <c r="G168" s="4" t="s">
        <v>1642</v>
      </c>
      <c r="H168" s="4" t="s">
        <v>2920</v>
      </c>
    </row>
    <row r="169" spans="1:8" ht="48" customHeight="1">
      <c r="A169" s="3" t="s">
        <v>887</v>
      </c>
      <c r="B169" s="3" t="s">
        <v>2921</v>
      </c>
      <c r="C169" s="3" t="s">
        <v>1465</v>
      </c>
      <c r="D169" s="3" t="s">
        <v>2922</v>
      </c>
      <c r="E169" s="8">
        <v>2681</v>
      </c>
      <c r="F169" s="3" t="s">
        <v>2923</v>
      </c>
      <c r="G169" s="3" t="s">
        <v>1664</v>
      </c>
      <c r="H169" s="3" t="s">
        <v>2924</v>
      </c>
    </row>
    <row r="170" spans="1:8" ht="48" customHeight="1">
      <c r="A170" s="4" t="s">
        <v>887</v>
      </c>
      <c r="B170" s="4" t="s">
        <v>2925</v>
      </c>
      <c r="C170" s="4" t="s">
        <v>1465</v>
      </c>
      <c r="D170" s="4" t="s">
        <v>2926</v>
      </c>
      <c r="E170" s="9">
        <v>2671</v>
      </c>
      <c r="F170" s="4" t="s">
        <v>2923</v>
      </c>
      <c r="G170" s="4" t="s">
        <v>1664</v>
      </c>
      <c r="H170" s="4" t="s">
        <v>2927</v>
      </c>
    </row>
    <row r="171" spans="1:8" ht="48" customHeight="1">
      <c r="A171" s="3" t="s">
        <v>887</v>
      </c>
      <c r="B171" s="3" t="s">
        <v>2928</v>
      </c>
      <c r="C171" s="3" t="s">
        <v>1465</v>
      </c>
      <c r="D171" s="3" t="s">
        <v>2929</v>
      </c>
      <c r="E171" s="8">
        <v>2667</v>
      </c>
      <c r="F171" s="3" t="s">
        <v>2923</v>
      </c>
      <c r="G171" s="3" t="s">
        <v>1664</v>
      </c>
      <c r="H171" s="3" t="s">
        <v>2930</v>
      </c>
    </row>
    <row r="172" spans="1:8" ht="48" customHeight="1">
      <c r="A172" s="4" t="s">
        <v>887</v>
      </c>
      <c r="B172" s="4" t="s">
        <v>2931</v>
      </c>
      <c r="C172" s="4" t="s">
        <v>1465</v>
      </c>
      <c r="D172" s="4" t="s">
        <v>2932</v>
      </c>
      <c r="E172" s="9">
        <v>2621</v>
      </c>
      <c r="F172" s="4" t="s">
        <v>1690</v>
      </c>
      <c r="G172" s="4" t="s">
        <v>1642</v>
      </c>
      <c r="H172" s="4" t="s">
        <v>2933</v>
      </c>
    </row>
    <row r="173" spans="1:8" ht="48" customHeight="1">
      <c r="A173" s="3" t="s">
        <v>887</v>
      </c>
      <c r="B173" s="3" t="s">
        <v>2934</v>
      </c>
      <c r="C173" s="3" t="s">
        <v>1465</v>
      </c>
      <c r="D173" s="3" t="s">
        <v>2935</v>
      </c>
      <c r="E173" s="8">
        <v>2617</v>
      </c>
      <c r="F173" s="3" t="s">
        <v>1690</v>
      </c>
      <c r="G173" s="3" t="s">
        <v>1642</v>
      </c>
      <c r="H173" s="3" t="s">
        <v>2936</v>
      </c>
    </row>
    <row r="174" spans="1:8" ht="48" customHeight="1">
      <c r="A174" s="4" t="s">
        <v>887</v>
      </c>
      <c r="B174" s="4" t="s">
        <v>2937</v>
      </c>
      <c r="C174" s="4" t="s">
        <v>1465</v>
      </c>
      <c r="D174" s="4" t="s">
        <v>2938</v>
      </c>
      <c r="E174" s="9">
        <v>2082</v>
      </c>
      <c r="F174" s="4" t="s">
        <v>1900</v>
      </c>
      <c r="G174" s="4" t="s">
        <v>1642</v>
      </c>
      <c r="H174" s="4" t="s">
        <v>2939</v>
      </c>
    </row>
    <row r="175" spans="1:8" ht="48" customHeight="1">
      <c r="A175" s="3" t="s">
        <v>887</v>
      </c>
      <c r="B175" s="3" t="s">
        <v>2940</v>
      </c>
      <c r="C175" s="3" t="s">
        <v>1465</v>
      </c>
      <c r="D175" s="3" t="s">
        <v>2941</v>
      </c>
      <c r="E175" s="8">
        <v>2082</v>
      </c>
      <c r="F175" s="3" t="s">
        <v>1900</v>
      </c>
      <c r="G175" s="3" t="s">
        <v>1642</v>
      </c>
      <c r="H175" s="3" t="s">
        <v>2942</v>
      </c>
    </row>
    <row r="176" spans="1:8" ht="48" customHeight="1">
      <c r="A176" s="4" t="s">
        <v>887</v>
      </c>
      <c r="B176" s="4" t="s">
        <v>2943</v>
      </c>
      <c r="C176" s="4" t="s">
        <v>1465</v>
      </c>
      <c r="D176" s="4" t="s">
        <v>2944</v>
      </c>
      <c r="E176" s="9">
        <v>2082</v>
      </c>
      <c r="F176" s="4" t="s">
        <v>1900</v>
      </c>
      <c r="G176" s="4" t="s">
        <v>1642</v>
      </c>
      <c r="H176" s="4" t="s">
        <v>2945</v>
      </c>
    </row>
    <row r="177" spans="1:8" ht="48" customHeight="1">
      <c r="A177" s="3" t="s">
        <v>887</v>
      </c>
      <c r="B177" s="3" t="s">
        <v>2946</v>
      </c>
      <c r="C177" s="3" t="s">
        <v>1465</v>
      </c>
      <c r="D177" s="3" t="s">
        <v>2947</v>
      </c>
      <c r="E177" s="8">
        <v>1533</v>
      </c>
      <c r="F177" s="3" t="s">
        <v>1351</v>
      </c>
      <c r="G177" s="3" t="s">
        <v>1664</v>
      </c>
      <c r="H177" s="3" t="s">
        <v>2948</v>
      </c>
    </row>
    <row r="178" spans="1:8" ht="48" customHeight="1">
      <c r="A178" s="4" t="s">
        <v>887</v>
      </c>
      <c r="B178" s="4" t="s">
        <v>2949</v>
      </c>
      <c r="C178" s="4" t="s">
        <v>1465</v>
      </c>
      <c r="D178" s="4" t="s">
        <v>2950</v>
      </c>
      <c r="E178" s="9">
        <v>1532</v>
      </c>
      <c r="F178" s="4" t="s">
        <v>1351</v>
      </c>
      <c r="G178" s="4" t="s">
        <v>1664</v>
      </c>
      <c r="H178" s="4" t="s">
        <v>2951</v>
      </c>
    </row>
    <row r="179" spans="1:8" ht="48" customHeight="1">
      <c r="A179" s="3" t="s">
        <v>887</v>
      </c>
      <c r="B179" s="3" t="s">
        <v>2952</v>
      </c>
      <c r="C179" s="3" t="s">
        <v>1465</v>
      </c>
      <c r="D179" s="3" t="s">
        <v>2953</v>
      </c>
      <c r="E179" s="8">
        <v>1430</v>
      </c>
      <c r="F179" s="3" t="s">
        <v>1356</v>
      </c>
      <c r="G179" s="3" t="s">
        <v>1664</v>
      </c>
      <c r="H179" s="3" t="s">
        <v>2954</v>
      </c>
    </row>
    <row r="180" spans="1:8" ht="48" customHeight="1">
      <c r="A180" s="4" t="s">
        <v>887</v>
      </c>
      <c r="B180" s="4" t="s">
        <v>2955</v>
      </c>
      <c r="C180" s="4" t="s">
        <v>1465</v>
      </c>
      <c r="D180" s="4" t="s">
        <v>2956</v>
      </c>
      <c r="E180" s="9">
        <v>1396</v>
      </c>
      <c r="F180" s="4" t="s">
        <v>1796</v>
      </c>
      <c r="G180" s="4" t="s">
        <v>1664</v>
      </c>
      <c r="H180" s="4" t="s">
        <v>2957</v>
      </c>
    </row>
    <row r="181" spans="1:8" ht="48" customHeight="1">
      <c r="A181" s="3" t="s">
        <v>887</v>
      </c>
      <c r="B181" s="3" t="s">
        <v>2958</v>
      </c>
      <c r="C181" s="3" t="s">
        <v>1465</v>
      </c>
      <c r="D181" s="3" t="s">
        <v>2959</v>
      </c>
      <c r="E181" s="8">
        <v>1218</v>
      </c>
      <c r="F181" s="3" t="s">
        <v>1370</v>
      </c>
      <c r="G181" s="3" t="s">
        <v>1642</v>
      </c>
      <c r="H181" s="3" t="s">
        <v>2960</v>
      </c>
    </row>
    <row r="182" spans="1:8" ht="48" customHeight="1">
      <c r="A182" s="4" t="s">
        <v>887</v>
      </c>
      <c r="B182" s="4" t="s">
        <v>2961</v>
      </c>
      <c r="C182" s="4" t="s">
        <v>1465</v>
      </c>
      <c r="D182" s="4" t="s">
        <v>2962</v>
      </c>
      <c r="E182" s="9">
        <v>1208</v>
      </c>
      <c r="F182" s="4" t="s">
        <v>1376</v>
      </c>
      <c r="G182" s="4" t="s">
        <v>1642</v>
      </c>
      <c r="H182" s="4" t="s">
        <v>2963</v>
      </c>
    </row>
    <row r="183" spans="1:8" ht="48" customHeight="1">
      <c r="A183" s="3" t="s">
        <v>887</v>
      </c>
      <c r="B183" s="3" t="s">
        <v>2964</v>
      </c>
      <c r="C183" s="3" t="s">
        <v>1465</v>
      </c>
      <c r="D183" s="3" t="s">
        <v>2965</v>
      </c>
      <c r="E183" s="8">
        <v>1207</v>
      </c>
      <c r="F183" s="3" t="s">
        <v>1376</v>
      </c>
      <c r="G183" s="3" t="s">
        <v>1642</v>
      </c>
      <c r="H183" s="3" t="s">
        <v>2966</v>
      </c>
    </row>
    <row r="184" spans="1:8" ht="66" customHeight="1">
      <c r="A184" s="4" t="s">
        <v>887</v>
      </c>
      <c r="B184" s="4" t="s">
        <v>2967</v>
      </c>
      <c r="C184" s="4" t="s">
        <v>1465</v>
      </c>
      <c r="D184" s="4" t="s">
        <v>2968</v>
      </c>
      <c r="E184" s="9">
        <v>1207</v>
      </c>
      <c r="F184" s="4" t="s">
        <v>1376</v>
      </c>
      <c r="G184" s="4" t="s">
        <v>1642</v>
      </c>
      <c r="H184" s="4" t="s">
        <v>2969</v>
      </c>
    </row>
    <row r="185" spans="1:8" ht="66" customHeight="1">
      <c r="A185" s="3" t="s">
        <v>887</v>
      </c>
      <c r="B185" s="3" t="s">
        <v>2970</v>
      </c>
      <c r="C185" s="3" t="s">
        <v>1465</v>
      </c>
      <c r="D185" s="3" t="s">
        <v>2971</v>
      </c>
      <c r="E185" s="8">
        <v>1207</v>
      </c>
      <c r="F185" s="3" t="s">
        <v>1376</v>
      </c>
      <c r="G185" s="3" t="s">
        <v>1642</v>
      </c>
      <c r="H185" s="3" t="s">
        <v>2972</v>
      </c>
    </row>
    <row r="186" spans="1:8" ht="48" customHeight="1">
      <c r="A186" s="4" t="s">
        <v>887</v>
      </c>
      <c r="B186" s="4" t="s">
        <v>2973</v>
      </c>
      <c r="C186" s="4" t="s">
        <v>1465</v>
      </c>
      <c r="D186" s="4" t="s">
        <v>2974</v>
      </c>
      <c r="E186" s="9">
        <v>1198</v>
      </c>
      <c r="F186" s="4" t="s">
        <v>1380</v>
      </c>
      <c r="G186" s="4" t="s">
        <v>1642</v>
      </c>
      <c r="H186" s="4" t="s">
        <v>2975</v>
      </c>
    </row>
    <row r="187" spans="1:8" ht="48" customHeight="1">
      <c r="A187" s="3" t="s">
        <v>887</v>
      </c>
      <c r="B187" s="3" t="s">
        <v>2976</v>
      </c>
      <c r="C187" s="3" t="s">
        <v>1465</v>
      </c>
      <c r="D187" s="3" t="s">
        <v>2977</v>
      </c>
      <c r="E187" s="8">
        <v>1197</v>
      </c>
      <c r="F187" s="3" t="s">
        <v>1380</v>
      </c>
      <c r="G187" s="3" t="s">
        <v>1642</v>
      </c>
      <c r="H187" s="3" t="s">
        <v>2975</v>
      </c>
    </row>
    <row r="188" spans="1:8" ht="48" customHeight="1">
      <c r="A188" s="4" t="s">
        <v>887</v>
      </c>
      <c r="B188" s="4" t="s">
        <v>2978</v>
      </c>
      <c r="C188" s="4" t="s">
        <v>1465</v>
      </c>
      <c r="D188" s="4" t="s">
        <v>2979</v>
      </c>
      <c r="E188" s="9">
        <v>1127</v>
      </c>
      <c r="F188" s="4" t="s">
        <v>1376</v>
      </c>
      <c r="G188" s="4" t="s">
        <v>1642</v>
      </c>
      <c r="H188" s="4" t="s">
        <v>2980</v>
      </c>
    </row>
    <row r="189" spans="1:8" ht="48" customHeight="1">
      <c r="A189" s="3" t="s">
        <v>335</v>
      </c>
      <c r="B189" s="3" t="s">
        <v>1903</v>
      </c>
      <c r="C189" s="3" t="s">
        <v>1643</v>
      </c>
      <c r="D189" s="3" t="s">
        <v>1904</v>
      </c>
      <c r="E189" s="8">
        <v>1907</v>
      </c>
      <c r="F189" s="3" t="s">
        <v>1681</v>
      </c>
      <c r="G189" s="3" t="s">
        <v>1664</v>
      </c>
      <c r="H189" s="3" t="s">
        <v>2981</v>
      </c>
    </row>
    <row r="190" spans="1:8" ht="48" customHeight="1">
      <c r="A190" s="4" t="s">
        <v>335</v>
      </c>
      <c r="B190" s="4" t="s">
        <v>2982</v>
      </c>
      <c r="C190" s="4" t="s">
        <v>1465</v>
      </c>
      <c r="D190" s="4" t="s">
        <v>2983</v>
      </c>
      <c r="E190" s="9">
        <v>1910</v>
      </c>
      <c r="F190" s="4" t="s">
        <v>1681</v>
      </c>
      <c r="G190" s="4" t="s">
        <v>1664</v>
      </c>
      <c r="H190" s="4" t="s">
        <v>2984</v>
      </c>
    </row>
    <row r="191" spans="1:8" ht="84" customHeight="1">
      <c r="A191" s="3" t="s">
        <v>536</v>
      </c>
      <c r="B191" s="3" t="s">
        <v>538</v>
      </c>
      <c r="C191" s="3" t="s">
        <v>1643</v>
      </c>
      <c r="D191" s="3" t="s">
        <v>1640</v>
      </c>
      <c r="E191" s="8">
        <v>23215</v>
      </c>
      <c r="F191" s="3" t="s">
        <v>1641</v>
      </c>
      <c r="G191" s="3" t="s">
        <v>1642</v>
      </c>
      <c r="H191" s="3" t="s">
        <v>2985</v>
      </c>
    </row>
    <row r="192" spans="1:8" ht="48" customHeight="1">
      <c r="A192" s="4" t="s">
        <v>619</v>
      </c>
      <c r="B192" s="4" t="s">
        <v>620</v>
      </c>
      <c r="C192" s="4" t="s">
        <v>1643</v>
      </c>
      <c r="D192" s="4" t="s">
        <v>1892</v>
      </c>
      <c r="E192" s="9">
        <v>2531</v>
      </c>
      <c r="F192" s="4" t="s">
        <v>1684</v>
      </c>
      <c r="G192" s="4" t="s">
        <v>1642</v>
      </c>
      <c r="H192" s="4" t="s">
        <v>2986</v>
      </c>
    </row>
    <row r="193" spans="1:8" ht="30" customHeight="1">
      <c r="A193" s="3" t="s">
        <v>2523</v>
      </c>
      <c r="B193" s="3" t="s">
        <v>2987</v>
      </c>
      <c r="C193" s="3" t="s">
        <v>1465</v>
      </c>
      <c r="D193" s="3" t="s">
        <v>2988</v>
      </c>
      <c r="E193" s="8">
        <v>2886</v>
      </c>
      <c r="F193" s="3" t="s">
        <v>2225</v>
      </c>
      <c r="G193" s="3" t="s">
        <v>1664</v>
      </c>
      <c r="H193" s="3" t="s">
        <v>2989</v>
      </c>
    </row>
    <row r="194" spans="1:8" ht="30" customHeight="1">
      <c r="A194" s="4" t="s">
        <v>2523</v>
      </c>
      <c r="B194" s="4" t="s">
        <v>2990</v>
      </c>
      <c r="C194" s="4" t="s">
        <v>1465</v>
      </c>
      <c r="D194" s="4" t="s">
        <v>2991</v>
      </c>
      <c r="E194" s="9">
        <v>2883</v>
      </c>
      <c r="F194" s="4" t="s">
        <v>2225</v>
      </c>
      <c r="G194" s="4" t="s">
        <v>1664</v>
      </c>
      <c r="H194" s="4" t="s">
        <v>2992</v>
      </c>
    </row>
    <row r="195" spans="1:8" ht="48" customHeight="1">
      <c r="A195" s="3" t="s">
        <v>2523</v>
      </c>
      <c r="B195" s="3" t="s">
        <v>2993</v>
      </c>
      <c r="C195" s="3" t="s">
        <v>1465</v>
      </c>
      <c r="D195" s="3" t="s">
        <v>2994</v>
      </c>
      <c r="E195" s="8">
        <v>2848</v>
      </c>
      <c r="F195" s="3" t="s">
        <v>2225</v>
      </c>
      <c r="G195" s="3" t="s">
        <v>1664</v>
      </c>
      <c r="H195" s="3" t="s">
        <v>2995</v>
      </c>
    </row>
    <row r="196" spans="1:8" ht="30" customHeight="1">
      <c r="A196" s="4" t="s">
        <v>2523</v>
      </c>
      <c r="B196" s="4" t="s">
        <v>2996</v>
      </c>
      <c r="C196" s="4" t="s">
        <v>1465</v>
      </c>
      <c r="D196" s="4" t="s">
        <v>2997</v>
      </c>
      <c r="E196" s="9">
        <v>1311</v>
      </c>
      <c r="F196" s="4" t="s">
        <v>2225</v>
      </c>
      <c r="G196" s="4" t="s">
        <v>1664</v>
      </c>
      <c r="H196" s="4" t="s">
        <v>2998</v>
      </c>
    </row>
    <row r="197" spans="1:8" ht="48" customHeight="1">
      <c r="A197" s="3" t="s">
        <v>2523</v>
      </c>
      <c r="B197" s="3" t="s">
        <v>2999</v>
      </c>
      <c r="C197" s="3" t="s">
        <v>1465</v>
      </c>
      <c r="D197" s="3" t="s">
        <v>3000</v>
      </c>
      <c r="E197" s="8">
        <v>1294</v>
      </c>
      <c r="F197" s="3" t="s">
        <v>3001</v>
      </c>
      <c r="G197" s="3" t="s">
        <v>1664</v>
      </c>
      <c r="H197" s="3" t="s">
        <v>3002</v>
      </c>
    </row>
    <row r="198" spans="1:8" ht="48" customHeight="1">
      <c r="A198" s="4" t="s">
        <v>2523</v>
      </c>
      <c r="B198" s="4" t="s">
        <v>2525</v>
      </c>
      <c r="C198" s="4" t="s">
        <v>1465</v>
      </c>
      <c r="D198" s="4" t="s">
        <v>2526</v>
      </c>
      <c r="E198" s="9">
        <v>1014</v>
      </c>
      <c r="F198" s="4" t="s">
        <v>1396</v>
      </c>
      <c r="G198" s="4" t="s">
        <v>1642</v>
      </c>
      <c r="H198" s="4" t="s">
        <v>3003</v>
      </c>
    </row>
    <row r="199" spans="1:8" ht="30" customHeight="1">
      <c r="A199" s="3" t="s">
        <v>2242</v>
      </c>
      <c r="B199" s="3" t="s">
        <v>3004</v>
      </c>
      <c r="C199" s="3" t="s">
        <v>1465</v>
      </c>
      <c r="D199" s="3" t="s">
        <v>3005</v>
      </c>
      <c r="E199" s="8">
        <v>2664</v>
      </c>
      <c r="F199" s="3" t="s">
        <v>2923</v>
      </c>
      <c r="G199" s="3" t="s">
        <v>1664</v>
      </c>
      <c r="H199" s="3" t="s">
        <v>3006</v>
      </c>
    </row>
    <row r="200" spans="1:8" ht="30" customHeight="1">
      <c r="A200" s="4" t="s">
        <v>2242</v>
      </c>
      <c r="B200" s="4" t="s">
        <v>3007</v>
      </c>
      <c r="C200" s="4" t="s">
        <v>1465</v>
      </c>
      <c r="D200" s="4" t="s">
        <v>3008</v>
      </c>
      <c r="E200" s="9">
        <v>2661</v>
      </c>
      <c r="F200" s="4" t="s">
        <v>2923</v>
      </c>
      <c r="G200" s="4" t="s">
        <v>1664</v>
      </c>
      <c r="H200" s="4" t="s">
        <v>3009</v>
      </c>
    </row>
    <row r="201" spans="1:8" ht="48" customHeight="1">
      <c r="A201" s="3" t="s">
        <v>2242</v>
      </c>
      <c r="B201" s="3" t="s">
        <v>2244</v>
      </c>
      <c r="C201" s="3" t="s">
        <v>1465</v>
      </c>
      <c r="D201" s="3" t="s">
        <v>2245</v>
      </c>
      <c r="E201" s="8">
        <v>2620</v>
      </c>
      <c r="F201" s="3" t="s">
        <v>1690</v>
      </c>
      <c r="G201" s="3" t="s">
        <v>1642</v>
      </c>
      <c r="H201" s="3" t="s">
        <v>3010</v>
      </c>
    </row>
    <row r="202" spans="1:8" ht="30" customHeight="1">
      <c r="A202" s="4" t="s">
        <v>2242</v>
      </c>
      <c r="B202" s="4" t="s">
        <v>3011</v>
      </c>
      <c r="C202" s="4" t="s">
        <v>1465</v>
      </c>
      <c r="D202" s="4" t="s">
        <v>3005</v>
      </c>
      <c r="E202" s="9">
        <v>2619</v>
      </c>
      <c r="F202" s="4" t="s">
        <v>1681</v>
      </c>
      <c r="G202" s="4" t="s">
        <v>1664</v>
      </c>
      <c r="H202" s="4" t="s">
        <v>3006</v>
      </c>
    </row>
    <row r="203" spans="1:8" ht="30" customHeight="1">
      <c r="A203" s="3" t="s">
        <v>2242</v>
      </c>
      <c r="B203" s="3" t="s">
        <v>3012</v>
      </c>
      <c r="C203" s="3" t="s">
        <v>1465</v>
      </c>
      <c r="D203" s="3" t="s">
        <v>3013</v>
      </c>
      <c r="E203" s="8">
        <v>1575</v>
      </c>
      <c r="F203" s="3" t="s">
        <v>2687</v>
      </c>
      <c r="G203" s="3" t="s">
        <v>1664</v>
      </c>
      <c r="H203" s="3" t="s">
        <v>3014</v>
      </c>
    </row>
    <row r="204" spans="1:8" ht="48" customHeight="1">
      <c r="A204" s="4" t="s">
        <v>2329</v>
      </c>
      <c r="B204" s="4" t="s">
        <v>2331</v>
      </c>
      <c r="C204" s="4" t="s">
        <v>1465</v>
      </c>
      <c r="D204" s="4" t="s">
        <v>2332</v>
      </c>
      <c r="E204" s="9">
        <v>1599</v>
      </c>
      <c r="F204" s="4" t="s">
        <v>2333</v>
      </c>
      <c r="G204" s="4" t="s">
        <v>1664</v>
      </c>
      <c r="H204" s="4" t="s">
        <v>3015</v>
      </c>
    </row>
    <row r="205" spans="1:8" ht="30" customHeight="1">
      <c r="A205" s="3" t="s">
        <v>824</v>
      </c>
      <c r="B205" s="3" t="s">
        <v>1916</v>
      </c>
      <c r="C205" s="3" t="s">
        <v>1643</v>
      </c>
      <c r="D205" s="3" t="s">
        <v>1917</v>
      </c>
      <c r="E205" s="8">
        <v>1431</v>
      </c>
      <c r="F205" s="3" t="s">
        <v>1356</v>
      </c>
      <c r="G205" s="3" t="s">
        <v>1664</v>
      </c>
      <c r="H205" s="3" t="s">
        <v>3016</v>
      </c>
    </row>
    <row r="206" spans="1:8" ht="48" customHeight="1">
      <c r="A206" s="4" t="s">
        <v>2302</v>
      </c>
      <c r="B206" s="4" t="s">
        <v>2304</v>
      </c>
      <c r="C206" s="4" t="s">
        <v>1465</v>
      </c>
      <c r="D206" s="4" t="s">
        <v>2305</v>
      </c>
      <c r="E206" s="9">
        <v>2217</v>
      </c>
      <c r="F206" s="4" t="s">
        <v>1778</v>
      </c>
      <c r="G206" s="4" t="s">
        <v>1642</v>
      </c>
      <c r="H206" s="4" t="s">
        <v>3017</v>
      </c>
    </row>
    <row r="207" spans="1:8" ht="48" customHeight="1">
      <c r="A207" s="3" t="s">
        <v>2226</v>
      </c>
      <c r="B207" s="3" t="s">
        <v>2228</v>
      </c>
      <c r="C207" s="3" t="s">
        <v>1465</v>
      </c>
      <c r="D207" s="3" t="s">
        <v>2229</v>
      </c>
      <c r="E207" s="8">
        <v>2775</v>
      </c>
      <c r="F207" s="3" t="s">
        <v>1865</v>
      </c>
      <c r="G207" s="3" t="s">
        <v>1642</v>
      </c>
      <c r="H207" s="3" t="s">
        <v>3018</v>
      </c>
    </row>
    <row r="208" spans="1:8" ht="30" customHeight="1">
      <c r="A208" s="4" t="s">
        <v>2226</v>
      </c>
      <c r="B208" s="4" t="s">
        <v>3019</v>
      </c>
      <c r="C208" s="4" t="s">
        <v>1465</v>
      </c>
      <c r="D208" s="4" t="s">
        <v>3020</v>
      </c>
      <c r="E208" s="9">
        <v>1395</v>
      </c>
      <c r="F208" s="4" t="s">
        <v>1796</v>
      </c>
      <c r="G208" s="4" t="s">
        <v>1664</v>
      </c>
      <c r="H208" s="4" t="s">
        <v>3021</v>
      </c>
    </row>
    <row r="209" spans="1:8" ht="48" customHeight="1">
      <c r="A209" s="3" t="s">
        <v>456</v>
      </c>
      <c r="B209" s="3" t="s">
        <v>2060</v>
      </c>
      <c r="C209" s="3" t="s">
        <v>1643</v>
      </c>
      <c r="D209" s="3" t="s">
        <v>2061</v>
      </c>
      <c r="E209" s="8">
        <v>5541</v>
      </c>
      <c r="F209" s="3" t="s">
        <v>2062</v>
      </c>
      <c r="G209" s="3" t="s">
        <v>1642</v>
      </c>
      <c r="H209" s="3" t="s">
        <v>3022</v>
      </c>
    </row>
    <row r="210" spans="1:8" ht="48" customHeight="1">
      <c r="A210" s="4" t="s">
        <v>456</v>
      </c>
      <c r="B210" s="4" t="s">
        <v>3023</v>
      </c>
      <c r="C210" s="4" t="s">
        <v>1643</v>
      </c>
      <c r="D210" s="4" t="s">
        <v>3024</v>
      </c>
      <c r="E210" s="9">
        <v>1575</v>
      </c>
      <c r="F210" s="4" t="s">
        <v>1672</v>
      </c>
      <c r="G210" s="4" t="s">
        <v>1664</v>
      </c>
      <c r="H210" s="4" t="s">
        <v>3025</v>
      </c>
    </row>
    <row r="211" spans="1:8" ht="48" customHeight="1">
      <c r="A211" s="3" t="s">
        <v>456</v>
      </c>
      <c r="B211" s="3" t="s">
        <v>3026</v>
      </c>
      <c r="C211" s="3" t="s">
        <v>1643</v>
      </c>
      <c r="D211" s="3" t="s">
        <v>3027</v>
      </c>
      <c r="E211" s="8">
        <v>1574</v>
      </c>
      <c r="F211" s="3" t="s">
        <v>1672</v>
      </c>
      <c r="G211" s="3" t="s">
        <v>1664</v>
      </c>
      <c r="H211" s="3" t="s">
        <v>3028</v>
      </c>
    </row>
    <row r="212" spans="1:8" ht="48" customHeight="1">
      <c r="A212" s="4" t="s">
        <v>456</v>
      </c>
      <c r="B212" s="4" t="s">
        <v>3029</v>
      </c>
      <c r="C212" s="4" t="s">
        <v>1643</v>
      </c>
      <c r="D212" s="4" t="s">
        <v>3030</v>
      </c>
      <c r="E212" s="9">
        <v>1573</v>
      </c>
      <c r="F212" s="4" t="s">
        <v>1672</v>
      </c>
      <c r="G212" s="4" t="s">
        <v>1664</v>
      </c>
      <c r="H212" s="4" t="s">
        <v>3031</v>
      </c>
    </row>
    <row r="213" spans="1:8" ht="48" customHeight="1">
      <c r="A213" s="3" t="s">
        <v>456</v>
      </c>
      <c r="B213" s="3" t="s">
        <v>3032</v>
      </c>
      <c r="C213" s="3" t="s">
        <v>1643</v>
      </c>
      <c r="D213" s="3" t="s">
        <v>3033</v>
      </c>
      <c r="E213" s="8">
        <v>1573</v>
      </c>
      <c r="F213" s="3" t="s">
        <v>1672</v>
      </c>
      <c r="G213" s="3" t="s">
        <v>1664</v>
      </c>
      <c r="H213" s="3" t="s">
        <v>3034</v>
      </c>
    </row>
    <row r="214" spans="1:8" ht="48" customHeight="1">
      <c r="A214" s="4" t="s">
        <v>456</v>
      </c>
      <c r="B214" s="4" t="s">
        <v>3035</v>
      </c>
      <c r="C214" s="4" t="s">
        <v>1465</v>
      </c>
      <c r="D214" s="4" t="s">
        <v>3036</v>
      </c>
      <c r="E214" s="9">
        <v>1597</v>
      </c>
      <c r="F214" s="4" t="s">
        <v>2333</v>
      </c>
      <c r="G214" s="4" t="s">
        <v>1664</v>
      </c>
      <c r="H214" s="4" t="s">
        <v>3037</v>
      </c>
    </row>
    <row r="215" spans="1:8" ht="48" customHeight="1">
      <c r="A215" s="3" t="s">
        <v>456</v>
      </c>
      <c r="B215" s="3" t="s">
        <v>3038</v>
      </c>
      <c r="C215" s="3" t="s">
        <v>1465</v>
      </c>
      <c r="D215" s="3" t="s">
        <v>3039</v>
      </c>
      <c r="E215" s="8">
        <v>1597</v>
      </c>
      <c r="F215" s="3" t="s">
        <v>2333</v>
      </c>
      <c r="G215" s="3" t="s">
        <v>1664</v>
      </c>
      <c r="H215" s="3" t="s">
        <v>3040</v>
      </c>
    </row>
    <row r="216" spans="1:8" ht="48" customHeight="1">
      <c r="A216" s="4" t="s">
        <v>456</v>
      </c>
      <c r="B216" s="4" t="s">
        <v>3041</v>
      </c>
      <c r="C216" s="4" t="s">
        <v>1465</v>
      </c>
      <c r="D216" s="4" t="s">
        <v>3042</v>
      </c>
      <c r="E216" s="9">
        <v>1597</v>
      </c>
      <c r="F216" s="4" t="s">
        <v>2333</v>
      </c>
      <c r="G216" s="4" t="s">
        <v>1664</v>
      </c>
      <c r="H216" s="4" t="s">
        <v>3043</v>
      </c>
    </row>
    <row r="217" spans="1:8" ht="48" customHeight="1">
      <c r="A217" s="3" t="s">
        <v>456</v>
      </c>
      <c r="B217" s="3" t="s">
        <v>3044</v>
      </c>
      <c r="C217" s="3" t="s">
        <v>1465</v>
      </c>
      <c r="D217" s="3" t="s">
        <v>3045</v>
      </c>
      <c r="E217" s="8">
        <v>1597</v>
      </c>
      <c r="F217" s="3" t="s">
        <v>2333</v>
      </c>
      <c r="G217" s="3" t="s">
        <v>1664</v>
      </c>
      <c r="H217" s="3" t="s">
        <v>3046</v>
      </c>
    </row>
    <row r="218" spans="1:8" ht="48" customHeight="1">
      <c r="A218" s="4" t="s">
        <v>456</v>
      </c>
      <c r="B218" s="4" t="s">
        <v>3047</v>
      </c>
      <c r="C218" s="4" t="s">
        <v>1465</v>
      </c>
      <c r="D218" s="4" t="s">
        <v>3048</v>
      </c>
      <c r="E218" s="9">
        <v>1597</v>
      </c>
      <c r="F218" s="4" t="s">
        <v>2333</v>
      </c>
      <c r="G218" s="4" t="s">
        <v>1664</v>
      </c>
      <c r="H218" s="4" t="s">
        <v>3049</v>
      </c>
    </row>
    <row r="219" spans="1:8" ht="48" customHeight="1">
      <c r="A219" s="3" t="s">
        <v>456</v>
      </c>
      <c r="B219" s="3" t="s">
        <v>3050</v>
      </c>
      <c r="C219" s="3" t="s">
        <v>1465</v>
      </c>
      <c r="D219" s="3" t="s">
        <v>3051</v>
      </c>
      <c r="E219" s="8">
        <v>1596</v>
      </c>
      <c r="F219" s="3" t="s">
        <v>2333</v>
      </c>
      <c r="G219" s="3" t="s">
        <v>1664</v>
      </c>
      <c r="H219" s="3" t="s">
        <v>3052</v>
      </c>
    </row>
    <row r="220" spans="1:8" ht="48" customHeight="1">
      <c r="A220" s="4" t="s">
        <v>456</v>
      </c>
      <c r="B220" s="4" t="s">
        <v>3053</v>
      </c>
      <c r="C220" s="4" t="s">
        <v>1465</v>
      </c>
      <c r="D220" s="4" t="s">
        <v>3054</v>
      </c>
      <c r="E220" s="9">
        <v>1596</v>
      </c>
      <c r="F220" s="4" t="s">
        <v>2333</v>
      </c>
      <c r="G220" s="4" t="s">
        <v>1664</v>
      </c>
      <c r="H220" s="4" t="s">
        <v>3055</v>
      </c>
    </row>
    <row r="221" spans="1:8" ht="48" customHeight="1">
      <c r="A221" s="3" t="s">
        <v>707</v>
      </c>
      <c r="B221" s="3" t="s">
        <v>1866</v>
      </c>
      <c r="C221" s="3" t="s">
        <v>1643</v>
      </c>
      <c r="D221" s="3" t="s">
        <v>3056</v>
      </c>
      <c r="E221" s="8">
        <v>2994</v>
      </c>
      <c r="F221" s="3" t="s">
        <v>3057</v>
      </c>
      <c r="G221" s="3" t="s">
        <v>1664</v>
      </c>
      <c r="H221" s="3" t="s">
        <v>3058</v>
      </c>
    </row>
    <row r="222" spans="1:8" ht="30" customHeight="1">
      <c r="A222" s="4" t="s">
        <v>707</v>
      </c>
      <c r="B222" s="4" t="s">
        <v>708</v>
      </c>
      <c r="C222" s="4" t="s">
        <v>1643</v>
      </c>
      <c r="D222" s="4" t="s">
        <v>1864</v>
      </c>
      <c r="E222" s="9">
        <v>2777</v>
      </c>
      <c r="F222" s="4" t="s">
        <v>1865</v>
      </c>
      <c r="G222" s="4" t="s">
        <v>1642</v>
      </c>
      <c r="H222" s="4" t="s">
        <v>3059</v>
      </c>
    </row>
    <row r="223" spans="1:8" ht="30" customHeight="1">
      <c r="A223" s="3" t="s">
        <v>707</v>
      </c>
      <c r="B223" s="3" t="s">
        <v>3060</v>
      </c>
      <c r="C223" s="3" t="s">
        <v>1465</v>
      </c>
      <c r="D223" s="3" t="s">
        <v>3061</v>
      </c>
      <c r="E223" s="8">
        <v>1230</v>
      </c>
      <c r="F223" s="3" t="s">
        <v>1370</v>
      </c>
      <c r="G223" s="3" t="s">
        <v>1642</v>
      </c>
      <c r="H223" s="3" t="s">
        <v>3062</v>
      </c>
    </row>
    <row r="224" spans="1:8" ht="30" customHeight="1">
      <c r="A224" s="4" t="s">
        <v>707</v>
      </c>
      <c r="B224" s="4" t="s">
        <v>3063</v>
      </c>
      <c r="C224" s="4" t="s">
        <v>1465</v>
      </c>
      <c r="D224" s="4" t="s">
        <v>3064</v>
      </c>
      <c r="E224" s="9">
        <v>1223</v>
      </c>
      <c r="F224" s="4" t="s">
        <v>1370</v>
      </c>
      <c r="G224" s="4" t="s">
        <v>1642</v>
      </c>
      <c r="H224" s="4" t="s">
        <v>3065</v>
      </c>
    </row>
    <row r="225" spans="1:8" ht="48" customHeight="1">
      <c r="A225" s="3" t="s">
        <v>445</v>
      </c>
      <c r="B225" s="3" t="s">
        <v>2050</v>
      </c>
      <c r="C225" s="3" t="s">
        <v>1643</v>
      </c>
      <c r="D225" s="3" t="s">
        <v>2051</v>
      </c>
      <c r="E225" s="8">
        <v>9856</v>
      </c>
      <c r="F225" s="3" t="s">
        <v>2052</v>
      </c>
      <c r="G225" s="3" t="s">
        <v>1642</v>
      </c>
      <c r="H225" s="3" t="s">
        <v>3066</v>
      </c>
    </row>
    <row r="226" spans="1:8" ht="30" customHeight="1">
      <c r="A226" s="4" t="s">
        <v>445</v>
      </c>
      <c r="B226" s="4" t="s">
        <v>3067</v>
      </c>
      <c r="C226" s="4" t="s">
        <v>1643</v>
      </c>
      <c r="D226" s="4" t="s">
        <v>3068</v>
      </c>
      <c r="E226" s="9">
        <v>2656</v>
      </c>
      <c r="F226" s="4" t="s">
        <v>1681</v>
      </c>
      <c r="G226" s="4" t="s">
        <v>1664</v>
      </c>
      <c r="H226" s="4" t="s">
        <v>3066</v>
      </c>
    </row>
    <row r="227" spans="1:8" ht="30" customHeight="1">
      <c r="A227" s="3" t="s">
        <v>445</v>
      </c>
      <c r="B227" s="3" t="s">
        <v>3069</v>
      </c>
      <c r="C227" s="3" t="s">
        <v>1643</v>
      </c>
      <c r="D227" s="3" t="s">
        <v>3070</v>
      </c>
      <c r="E227" s="8">
        <v>2441</v>
      </c>
      <c r="F227" s="3" t="s">
        <v>1778</v>
      </c>
      <c r="G227" s="3" t="s">
        <v>1642</v>
      </c>
      <c r="H227" s="3" t="s">
        <v>3070</v>
      </c>
    </row>
    <row r="228" spans="1:8" ht="30" customHeight="1">
      <c r="A228" s="4" t="s">
        <v>445</v>
      </c>
      <c r="B228" s="4" t="s">
        <v>3071</v>
      </c>
      <c r="C228" s="4" t="s">
        <v>1643</v>
      </c>
      <c r="D228" s="4" t="s">
        <v>3072</v>
      </c>
      <c r="E228" s="9">
        <v>1204</v>
      </c>
      <c r="F228" s="4" t="s">
        <v>1380</v>
      </c>
      <c r="G228" s="4" t="s">
        <v>1642</v>
      </c>
      <c r="H228" s="4" t="s">
        <v>3072</v>
      </c>
    </row>
    <row r="229" spans="1:8" ht="48" customHeight="1">
      <c r="A229" s="3" t="s">
        <v>445</v>
      </c>
      <c r="B229" s="3" t="s">
        <v>3073</v>
      </c>
      <c r="C229" s="3" t="s">
        <v>1465</v>
      </c>
      <c r="D229" s="3" t="s">
        <v>3074</v>
      </c>
      <c r="E229" s="8">
        <v>2777</v>
      </c>
      <c r="F229" s="3" t="s">
        <v>1865</v>
      </c>
      <c r="G229" s="3" t="s">
        <v>1642</v>
      </c>
      <c r="H229" s="3" t="s">
        <v>3075</v>
      </c>
    </row>
    <row r="230" spans="1:8" ht="48" customHeight="1">
      <c r="A230" s="4" t="s">
        <v>445</v>
      </c>
      <c r="B230" s="4" t="s">
        <v>3076</v>
      </c>
      <c r="C230" s="4" t="s">
        <v>1465</v>
      </c>
      <c r="D230" s="4" t="s">
        <v>3077</v>
      </c>
      <c r="E230" s="9">
        <v>2777</v>
      </c>
      <c r="F230" s="4" t="s">
        <v>1865</v>
      </c>
      <c r="G230" s="4" t="s">
        <v>1642</v>
      </c>
      <c r="H230" s="4" t="s">
        <v>3078</v>
      </c>
    </row>
    <row r="231" spans="1:8" ht="30" customHeight="1">
      <c r="A231" s="3" t="s">
        <v>445</v>
      </c>
      <c r="B231" s="3" t="s">
        <v>3079</v>
      </c>
      <c r="C231" s="3" t="s">
        <v>1465</v>
      </c>
      <c r="D231" s="3" t="s">
        <v>3080</v>
      </c>
      <c r="E231" s="8">
        <v>2428</v>
      </c>
      <c r="F231" s="3" t="s">
        <v>3081</v>
      </c>
      <c r="G231" s="3" t="s">
        <v>1642</v>
      </c>
      <c r="H231" s="3" t="s">
        <v>3080</v>
      </c>
    </row>
    <row r="232" spans="1:8" ht="48" customHeight="1">
      <c r="A232" s="4" t="s">
        <v>445</v>
      </c>
      <c r="B232" s="4" t="s">
        <v>3082</v>
      </c>
      <c r="C232" s="4" t="s">
        <v>1465</v>
      </c>
      <c r="D232" s="4" t="s">
        <v>3083</v>
      </c>
      <c r="E232" s="9">
        <v>1559</v>
      </c>
      <c r="F232" s="4" t="s">
        <v>1672</v>
      </c>
      <c r="G232" s="4" t="s">
        <v>1664</v>
      </c>
      <c r="H232" s="4" t="s">
        <v>3084</v>
      </c>
    </row>
    <row r="233" spans="1:8" ht="30" customHeight="1">
      <c r="A233" s="3" t="s">
        <v>445</v>
      </c>
      <c r="B233" s="3" t="s">
        <v>3085</v>
      </c>
      <c r="C233" s="3" t="s">
        <v>1465</v>
      </c>
      <c r="D233" s="3" t="s">
        <v>3086</v>
      </c>
      <c r="E233" s="8">
        <v>1534</v>
      </c>
      <c r="F233" s="3" t="s">
        <v>1351</v>
      </c>
      <c r="G233" s="3" t="s">
        <v>1664</v>
      </c>
      <c r="H233" s="3" t="s">
        <v>3087</v>
      </c>
    </row>
    <row r="234" spans="1:8" ht="48" customHeight="1">
      <c r="A234" s="4" t="s">
        <v>445</v>
      </c>
      <c r="B234" s="4" t="s">
        <v>3088</v>
      </c>
      <c r="C234" s="4" t="s">
        <v>1465</v>
      </c>
      <c r="D234" s="4" t="s">
        <v>3089</v>
      </c>
      <c r="E234" s="9">
        <v>1534</v>
      </c>
      <c r="F234" s="4" t="s">
        <v>1351</v>
      </c>
      <c r="G234" s="4" t="s">
        <v>1664</v>
      </c>
      <c r="H234" s="4" t="s">
        <v>3080</v>
      </c>
    </row>
    <row r="235" spans="1:8" ht="30" customHeight="1">
      <c r="A235" s="3" t="s">
        <v>445</v>
      </c>
      <c r="B235" s="3" t="s">
        <v>3090</v>
      </c>
      <c r="C235" s="3" t="s">
        <v>1465</v>
      </c>
      <c r="D235" s="3" t="s">
        <v>3091</v>
      </c>
      <c r="E235" s="8">
        <v>1225</v>
      </c>
      <c r="F235" s="3" t="s">
        <v>1370</v>
      </c>
      <c r="G235" s="3" t="s">
        <v>1642</v>
      </c>
      <c r="H235" s="3" t="s">
        <v>3092</v>
      </c>
    </row>
    <row r="236" spans="1:8" ht="48" customHeight="1">
      <c r="A236" s="4" t="s">
        <v>731</v>
      </c>
      <c r="B236" s="4" t="s">
        <v>732</v>
      </c>
      <c r="C236" s="4" t="s">
        <v>1643</v>
      </c>
      <c r="D236" s="4" t="s">
        <v>1966</v>
      </c>
      <c r="E236" s="9">
        <v>1204</v>
      </c>
      <c r="F236" s="4" t="s">
        <v>1380</v>
      </c>
      <c r="G236" s="4" t="s">
        <v>1642</v>
      </c>
      <c r="H236" s="4" t="s">
        <v>3093</v>
      </c>
    </row>
    <row r="237" spans="1:8" ht="30" customHeight="1">
      <c r="A237" s="3" t="s">
        <v>242</v>
      </c>
      <c r="B237" s="3" t="s">
        <v>2154</v>
      </c>
      <c r="C237" s="3" t="s">
        <v>1643</v>
      </c>
      <c r="D237" s="3" t="s">
        <v>2155</v>
      </c>
      <c r="E237" s="8">
        <v>2435</v>
      </c>
      <c r="F237" s="3" t="s">
        <v>1778</v>
      </c>
      <c r="G237" s="3" t="s">
        <v>1642</v>
      </c>
      <c r="H237" s="3" t="s">
        <v>3094</v>
      </c>
    </row>
    <row r="238" spans="1:8" ht="48" customHeight="1">
      <c r="A238" s="4" t="s">
        <v>242</v>
      </c>
      <c r="B238" s="4" t="s">
        <v>3095</v>
      </c>
      <c r="C238" s="4" t="s">
        <v>1465</v>
      </c>
      <c r="D238" s="4" t="s">
        <v>3096</v>
      </c>
      <c r="E238" s="9">
        <v>1596</v>
      </c>
      <c r="F238" s="4" t="s">
        <v>2333</v>
      </c>
      <c r="G238" s="4" t="s">
        <v>1664</v>
      </c>
      <c r="H238" s="4" t="s">
        <v>3097</v>
      </c>
    </row>
    <row r="239" spans="1:8" ht="48" customHeight="1">
      <c r="A239" s="3" t="s">
        <v>721</v>
      </c>
      <c r="B239" s="3" t="s">
        <v>722</v>
      </c>
      <c r="C239" s="3" t="s">
        <v>1643</v>
      </c>
      <c r="D239" s="3" t="s">
        <v>1846</v>
      </c>
      <c r="E239" s="8">
        <v>6707</v>
      </c>
      <c r="F239" s="3" t="s">
        <v>1847</v>
      </c>
      <c r="G239" s="3" t="s">
        <v>1642</v>
      </c>
      <c r="H239" s="3" t="s">
        <v>3098</v>
      </c>
    </row>
    <row r="240" spans="1:8" ht="48" customHeight="1">
      <c r="A240" s="4" t="s">
        <v>506</v>
      </c>
      <c r="B240" s="4" t="s">
        <v>978</v>
      </c>
      <c r="C240" s="4" t="s">
        <v>1465</v>
      </c>
      <c r="D240" s="4" t="s">
        <v>1143</v>
      </c>
      <c r="E240" s="9">
        <v>7893</v>
      </c>
      <c r="F240" s="4" t="s">
        <v>2528</v>
      </c>
      <c r="G240" s="4" t="s">
        <v>1642</v>
      </c>
      <c r="H240" s="4" t="s">
        <v>3099</v>
      </c>
    </row>
    <row r="241" spans="1:8" ht="48" customHeight="1">
      <c r="A241" s="3" t="s">
        <v>506</v>
      </c>
      <c r="B241" s="3" t="s">
        <v>987</v>
      </c>
      <c r="C241" s="3" t="s">
        <v>1465</v>
      </c>
      <c r="D241" s="3" t="s">
        <v>1164</v>
      </c>
      <c r="E241" s="8">
        <v>7844</v>
      </c>
      <c r="F241" s="3" t="s">
        <v>2533</v>
      </c>
      <c r="G241" s="3" t="s">
        <v>1642</v>
      </c>
      <c r="H241" s="3" t="s">
        <v>3100</v>
      </c>
    </row>
    <row r="242" spans="1:8" ht="48" customHeight="1">
      <c r="A242" s="4" t="s">
        <v>506</v>
      </c>
      <c r="B242" s="4" t="s">
        <v>2661</v>
      </c>
      <c r="C242" s="4" t="s">
        <v>1465</v>
      </c>
      <c r="D242" s="4" t="s">
        <v>2662</v>
      </c>
      <c r="E242" s="9">
        <v>4525</v>
      </c>
      <c r="F242" s="4" t="s">
        <v>2091</v>
      </c>
      <c r="G242" s="4" t="s">
        <v>1664</v>
      </c>
      <c r="H242" s="4" t="s">
        <v>3101</v>
      </c>
    </row>
    <row r="243" spans="1:8" ht="48" customHeight="1">
      <c r="A243" s="3" t="s">
        <v>506</v>
      </c>
      <c r="B243" s="3" t="s">
        <v>3102</v>
      </c>
      <c r="C243" s="3" t="s">
        <v>1465</v>
      </c>
      <c r="D243" s="3" t="s">
        <v>3103</v>
      </c>
      <c r="E243" s="8">
        <v>4519</v>
      </c>
      <c r="F243" s="3" t="s">
        <v>2091</v>
      </c>
      <c r="G243" s="3" t="s">
        <v>1664</v>
      </c>
      <c r="H243" s="3" t="s">
        <v>3101</v>
      </c>
    </row>
    <row r="244" spans="1:8" ht="30" customHeight="1">
      <c r="A244" s="4" t="s">
        <v>506</v>
      </c>
      <c r="B244" s="4" t="s">
        <v>2718</v>
      </c>
      <c r="C244" s="4" t="s">
        <v>1465</v>
      </c>
      <c r="D244" s="4" t="s">
        <v>1164</v>
      </c>
      <c r="E244" s="9">
        <v>3928</v>
      </c>
      <c r="F244" s="4" t="s">
        <v>2719</v>
      </c>
      <c r="G244" s="4" t="s">
        <v>1642</v>
      </c>
      <c r="H244" s="4" t="s">
        <v>3104</v>
      </c>
    </row>
    <row r="245" spans="1:8" ht="48" customHeight="1">
      <c r="A245" s="3" t="s">
        <v>506</v>
      </c>
      <c r="B245" s="3" t="s">
        <v>3105</v>
      </c>
      <c r="C245" s="3" t="s">
        <v>1465</v>
      </c>
      <c r="D245" s="3" t="s">
        <v>3106</v>
      </c>
      <c r="E245" s="8">
        <v>2995</v>
      </c>
      <c r="F245" s="3" t="s">
        <v>3057</v>
      </c>
      <c r="G245" s="3" t="s">
        <v>1664</v>
      </c>
      <c r="H245" s="3" t="s">
        <v>3107</v>
      </c>
    </row>
    <row r="246" spans="1:8" ht="48" customHeight="1">
      <c r="A246" s="4" t="s">
        <v>506</v>
      </c>
      <c r="B246" s="4" t="s">
        <v>3108</v>
      </c>
      <c r="C246" s="4" t="s">
        <v>1465</v>
      </c>
      <c r="D246" s="4" t="s">
        <v>3109</v>
      </c>
      <c r="E246" s="9">
        <v>2995</v>
      </c>
      <c r="F246" s="4" t="s">
        <v>3057</v>
      </c>
      <c r="G246" s="4" t="s">
        <v>1664</v>
      </c>
      <c r="H246" s="4" t="s">
        <v>3107</v>
      </c>
    </row>
    <row r="247" spans="1:8" ht="48" customHeight="1">
      <c r="A247" s="3" t="s">
        <v>506</v>
      </c>
      <c r="B247" s="3" t="s">
        <v>3110</v>
      </c>
      <c r="C247" s="3" t="s">
        <v>1465</v>
      </c>
      <c r="D247" s="3" t="s">
        <v>3111</v>
      </c>
      <c r="E247" s="8">
        <v>2995</v>
      </c>
      <c r="F247" s="3" t="s">
        <v>3057</v>
      </c>
      <c r="G247" s="3" t="s">
        <v>1664</v>
      </c>
      <c r="H247" s="3" t="s">
        <v>3107</v>
      </c>
    </row>
    <row r="248" spans="1:8" ht="48" customHeight="1">
      <c r="A248" s="4" t="s">
        <v>506</v>
      </c>
      <c r="B248" s="4" t="s">
        <v>3112</v>
      </c>
      <c r="C248" s="4" t="s">
        <v>1465</v>
      </c>
      <c r="D248" s="4" t="s">
        <v>3113</v>
      </c>
      <c r="E248" s="9">
        <v>2995</v>
      </c>
      <c r="F248" s="4" t="s">
        <v>3057</v>
      </c>
      <c r="G248" s="4" t="s">
        <v>1664</v>
      </c>
      <c r="H248" s="4" t="s">
        <v>3107</v>
      </c>
    </row>
    <row r="249" spans="1:8" ht="48" customHeight="1">
      <c r="A249" s="3" t="s">
        <v>506</v>
      </c>
      <c r="B249" s="3" t="s">
        <v>3114</v>
      </c>
      <c r="C249" s="3" t="s">
        <v>1465</v>
      </c>
      <c r="D249" s="3" t="s">
        <v>3115</v>
      </c>
      <c r="E249" s="8">
        <v>2995</v>
      </c>
      <c r="F249" s="3" t="s">
        <v>3057</v>
      </c>
      <c r="G249" s="3" t="s">
        <v>1664</v>
      </c>
      <c r="H249" s="3" t="s">
        <v>3107</v>
      </c>
    </row>
    <row r="250" spans="1:8" ht="48" customHeight="1">
      <c r="A250" s="4" t="s">
        <v>506</v>
      </c>
      <c r="B250" s="4" t="s">
        <v>2075</v>
      </c>
      <c r="C250" s="4" t="s">
        <v>1465</v>
      </c>
      <c r="D250" s="4" t="s">
        <v>3116</v>
      </c>
      <c r="E250" s="9">
        <v>2994</v>
      </c>
      <c r="F250" s="4" t="s">
        <v>3057</v>
      </c>
      <c r="G250" s="4" t="s">
        <v>1664</v>
      </c>
      <c r="H250" s="4" t="s">
        <v>3101</v>
      </c>
    </row>
    <row r="251" spans="1:8" ht="48" customHeight="1">
      <c r="A251" s="3" t="s">
        <v>506</v>
      </c>
      <c r="B251" s="3" t="s">
        <v>1866</v>
      </c>
      <c r="C251" s="3" t="s">
        <v>1465</v>
      </c>
      <c r="D251" s="3" t="s">
        <v>3056</v>
      </c>
      <c r="E251" s="8">
        <v>2994</v>
      </c>
      <c r="F251" s="3" t="s">
        <v>3057</v>
      </c>
      <c r="G251" s="3" t="s">
        <v>1664</v>
      </c>
      <c r="H251" s="3" t="s">
        <v>3101</v>
      </c>
    </row>
    <row r="252" spans="1:8" ht="66" customHeight="1">
      <c r="A252" s="4" t="s">
        <v>506</v>
      </c>
      <c r="B252" s="4" t="s">
        <v>3117</v>
      </c>
      <c r="C252" s="4" t="s">
        <v>1465</v>
      </c>
      <c r="D252" s="4" t="s">
        <v>3118</v>
      </c>
      <c r="E252" s="9">
        <v>2994</v>
      </c>
      <c r="F252" s="4" t="s">
        <v>3057</v>
      </c>
      <c r="G252" s="4" t="s">
        <v>1664</v>
      </c>
      <c r="H252" s="4" t="s">
        <v>3101</v>
      </c>
    </row>
    <row r="253" spans="1:8" ht="66" customHeight="1">
      <c r="A253" s="3" t="s">
        <v>506</v>
      </c>
      <c r="B253" s="3" t="s">
        <v>3119</v>
      </c>
      <c r="C253" s="3" t="s">
        <v>1465</v>
      </c>
      <c r="D253" s="3" t="s">
        <v>3120</v>
      </c>
      <c r="E253" s="8">
        <v>2994</v>
      </c>
      <c r="F253" s="3" t="s">
        <v>3057</v>
      </c>
      <c r="G253" s="3" t="s">
        <v>1664</v>
      </c>
      <c r="H253" s="3" t="s">
        <v>3101</v>
      </c>
    </row>
    <row r="254" spans="1:8" ht="48" customHeight="1">
      <c r="A254" s="4" t="s">
        <v>506</v>
      </c>
      <c r="B254" s="4" t="s">
        <v>3121</v>
      </c>
      <c r="C254" s="4" t="s">
        <v>1465</v>
      </c>
      <c r="D254" s="4" t="s">
        <v>3122</v>
      </c>
      <c r="E254" s="9">
        <v>2993</v>
      </c>
      <c r="F254" s="4" t="s">
        <v>3057</v>
      </c>
      <c r="G254" s="4" t="s">
        <v>1664</v>
      </c>
      <c r="H254" s="4" t="s">
        <v>3101</v>
      </c>
    </row>
    <row r="255" spans="1:8" ht="48" customHeight="1">
      <c r="A255" s="3" t="s">
        <v>506</v>
      </c>
      <c r="B255" s="3" t="s">
        <v>3123</v>
      </c>
      <c r="C255" s="3" t="s">
        <v>1465</v>
      </c>
      <c r="D255" s="3" t="s">
        <v>3124</v>
      </c>
      <c r="E255" s="8">
        <v>2993</v>
      </c>
      <c r="F255" s="3" t="s">
        <v>3057</v>
      </c>
      <c r="G255" s="3" t="s">
        <v>1664</v>
      </c>
      <c r="H255" s="3" t="s">
        <v>3101</v>
      </c>
    </row>
    <row r="256" spans="1:8" ht="66" customHeight="1">
      <c r="A256" s="4" t="s">
        <v>506</v>
      </c>
      <c r="B256" s="4" t="s">
        <v>3125</v>
      </c>
      <c r="C256" s="4" t="s">
        <v>1465</v>
      </c>
      <c r="D256" s="4" t="s">
        <v>3126</v>
      </c>
      <c r="E256" s="9">
        <v>2992</v>
      </c>
      <c r="F256" s="4" t="s">
        <v>3057</v>
      </c>
      <c r="G256" s="4" t="s">
        <v>1664</v>
      </c>
      <c r="H256" s="4" t="s">
        <v>3101</v>
      </c>
    </row>
    <row r="257" spans="1:8" ht="48" customHeight="1">
      <c r="A257" s="3" t="s">
        <v>506</v>
      </c>
      <c r="B257" s="3" t="s">
        <v>3127</v>
      </c>
      <c r="C257" s="3" t="s">
        <v>1465</v>
      </c>
      <c r="D257" s="3" t="s">
        <v>3128</v>
      </c>
      <c r="E257" s="8">
        <v>2992</v>
      </c>
      <c r="F257" s="3" t="s">
        <v>3057</v>
      </c>
      <c r="G257" s="3" t="s">
        <v>1664</v>
      </c>
      <c r="H257" s="3" t="s">
        <v>3107</v>
      </c>
    </row>
    <row r="258" spans="1:8" ht="30" customHeight="1">
      <c r="A258" s="4" t="s">
        <v>506</v>
      </c>
      <c r="B258" s="4" t="s">
        <v>2721</v>
      </c>
      <c r="C258" s="4" t="s">
        <v>1465</v>
      </c>
      <c r="D258" s="4" t="s">
        <v>2722</v>
      </c>
      <c r="E258" s="9">
        <v>2931</v>
      </c>
      <c r="F258" s="4" t="s">
        <v>2723</v>
      </c>
      <c r="G258" s="4" t="s">
        <v>1664</v>
      </c>
      <c r="H258" s="4" t="s">
        <v>3129</v>
      </c>
    </row>
    <row r="259" spans="1:8" ht="48" customHeight="1">
      <c r="A259" s="3" t="s">
        <v>506</v>
      </c>
      <c r="B259" s="3" t="s">
        <v>3130</v>
      </c>
      <c r="C259" s="3" t="s">
        <v>1465</v>
      </c>
      <c r="D259" s="3" t="s">
        <v>3131</v>
      </c>
      <c r="E259" s="8">
        <v>2777</v>
      </c>
      <c r="F259" s="3" t="s">
        <v>1865</v>
      </c>
      <c r="G259" s="3" t="s">
        <v>1642</v>
      </c>
      <c r="H259" s="3" t="s">
        <v>3132</v>
      </c>
    </row>
    <row r="260" spans="1:8" ht="30" customHeight="1">
      <c r="A260" s="4" t="s">
        <v>506</v>
      </c>
      <c r="B260" s="4" t="s">
        <v>2554</v>
      </c>
      <c r="C260" s="4" t="s">
        <v>1465</v>
      </c>
      <c r="D260" s="4" t="s">
        <v>2555</v>
      </c>
      <c r="E260" s="9">
        <v>2777</v>
      </c>
      <c r="F260" s="4" t="s">
        <v>1865</v>
      </c>
      <c r="G260" s="4" t="s">
        <v>1642</v>
      </c>
      <c r="H260" s="4" t="s">
        <v>3133</v>
      </c>
    </row>
    <row r="261" spans="1:8" ht="48" customHeight="1">
      <c r="A261" s="3" t="s">
        <v>506</v>
      </c>
      <c r="B261" s="3" t="s">
        <v>3134</v>
      </c>
      <c r="C261" s="3" t="s">
        <v>1465</v>
      </c>
      <c r="D261" s="3" t="s">
        <v>3135</v>
      </c>
      <c r="E261" s="8">
        <v>2771</v>
      </c>
      <c r="F261" s="3" t="s">
        <v>1865</v>
      </c>
      <c r="G261" s="3" t="s">
        <v>1642</v>
      </c>
      <c r="H261" s="3" t="s">
        <v>3136</v>
      </c>
    </row>
    <row r="262" spans="1:8" ht="30" customHeight="1">
      <c r="A262" s="4" t="s">
        <v>506</v>
      </c>
      <c r="B262" s="4" t="s">
        <v>2665</v>
      </c>
      <c r="C262" s="4" t="s">
        <v>1465</v>
      </c>
      <c r="D262" s="4" t="s">
        <v>2666</v>
      </c>
      <c r="E262" s="9">
        <v>2437</v>
      </c>
      <c r="F262" s="4" t="s">
        <v>1778</v>
      </c>
      <c r="G262" s="4" t="s">
        <v>1642</v>
      </c>
      <c r="H262" s="4" t="s">
        <v>3137</v>
      </c>
    </row>
    <row r="263" spans="1:8" ht="48" customHeight="1">
      <c r="A263" s="3" t="s">
        <v>506</v>
      </c>
      <c r="B263" s="3" t="s">
        <v>3138</v>
      </c>
      <c r="C263" s="3" t="s">
        <v>1465</v>
      </c>
      <c r="D263" s="3" t="s">
        <v>3139</v>
      </c>
      <c r="E263" s="8">
        <v>1597</v>
      </c>
      <c r="F263" s="3" t="s">
        <v>2333</v>
      </c>
      <c r="G263" s="3" t="s">
        <v>1664</v>
      </c>
      <c r="H263" s="3" t="s">
        <v>3140</v>
      </c>
    </row>
    <row r="264" spans="1:8" ht="30" customHeight="1">
      <c r="A264" s="4" t="s">
        <v>506</v>
      </c>
      <c r="B264" s="4" t="s">
        <v>2748</v>
      </c>
      <c r="C264" s="4" t="s">
        <v>1465</v>
      </c>
      <c r="D264" s="4" t="s">
        <v>2749</v>
      </c>
      <c r="E264" s="9">
        <v>1534</v>
      </c>
      <c r="F264" s="4" t="s">
        <v>1351</v>
      </c>
      <c r="G264" s="4" t="s">
        <v>1664</v>
      </c>
      <c r="H264" s="4" t="s">
        <v>3141</v>
      </c>
    </row>
    <row r="265" spans="1:8" ht="30" customHeight="1">
      <c r="A265" s="3" t="s">
        <v>506</v>
      </c>
      <c r="B265" s="3" t="s">
        <v>3142</v>
      </c>
      <c r="C265" s="3" t="s">
        <v>1465</v>
      </c>
      <c r="D265" s="3" t="s">
        <v>3143</v>
      </c>
      <c r="E265" s="8">
        <v>1429</v>
      </c>
      <c r="F265" s="3" t="s">
        <v>1356</v>
      </c>
      <c r="G265" s="3" t="s">
        <v>1664</v>
      </c>
      <c r="H265" s="3" t="s">
        <v>3144</v>
      </c>
    </row>
    <row r="266" spans="1:8" ht="48" customHeight="1">
      <c r="A266" s="4" t="s">
        <v>506</v>
      </c>
      <c r="B266" s="4" t="s">
        <v>3145</v>
      </c>
      <c r="C266" s="4" t="s">
        <v>1465</v>
      </c>
      <c r="D266" s="4" t="s">
        <v>3146</v>
      </c>
      <c r="E266" s="9">
        <v>1209</v>
      </c>
      <c r="F266" s="4" t="s">
        <v>1376</v>
      </c>
      <c r="G266" s="4" t="s">
        <v>1642</v>
      </c>
      <c r="H266" s="4" t="s">
        <v>3107</v>
      </c>
    </row>
    <row r="267" spans="1:8" ht="48" customHeight="1">
      <c r="A267" s="3" t="s">
        <v>506</v>
      </c>
      <c r="B267" s="3" t="s">
        <v>3147</v>
      </c>
      <c r="C267" s="3" t="s">
        <v>1465</v>
      </c>
      <c r="D267" s="3" t="s">
        <v>3148</v>
      </c>
      <c r="E267" s="8">
        <v>1209</v>
      </c>
      <c r="F267" s="3" t="s">
        <v>1376</v>
      </c>
      <c r="G267" s="3" t="s">
        <v>1642</v>
      </c>
      <c r="H267" s="3" t="s">
        <v>3107</v>
      </c>
    </row>
    <row r="268" spans="1:8" ht="48" customHeight="1">
      <c r="A268" s="4" t="s">
        <v>506</v>
      </c>
      <c r="B268" s="4" t="s">
        <v>3149</v>
      </c>
      <c r="C268" s="4" t="s">
        <v>1465</v>
      </c>
      <c r="D268" s="4" t="s">
        <v>3150</v>
      </c>
      <c r="E268" s="9">
        <v>1207</v>
      </c>
      <c r="F268" s="4" t="s">
        <v>1376</v>
      </c>
      <c r="G268" s="4" t="s">
        <v>1642</v>
      </c>
      <c r="H268" s="4" t="s">
        <v>3107</v>
      </c>
    </row>
    <row r="269" spans="1:8" ht="48" customHeight="1">
      <c r="A269" s="3" t="s">
        <v>506</v>
      </c>
      <c r="B269" s="3" t="s">
        <v>3151</v>
      </c>
      <c r="C269" s="3" t="s">
        <v>1465</v>
      </c>
      <c r="D269" s="3" t="s">
        <v>3152</v>
      </c>
      <c r="E269" s="8">
        <v>1206</v>
      </c>
      <c r="F269" s="3" t="s">
        <v>1376</v>
      </c>
      <c r="G269" s="3" t="s">
        <v>1642</v>
      </c>
      <c r="H269" s="3" t="s">
        <v>3107</v>
      </c>
    </row>
    <row r="270" spans="1:8" ht="48" customHeight="1">
      <c r="A270" s="4" t="s">
        <v>506</v>
      </c>
      <c r="B270" s="4" t="s">
        <v>3153</v>
      </c>
      <c r="C270" s="4" t="s">
        <v>1465</v>
      </c>
      <c r="D270" s="4" t="s">
        <v>3154</v>
      </c>
      <c r="E270" s="9">
        <v>1151</v>
      </c>
      <c r="F270" s="4" t="s">
        <v>1376</v>
      </c>
      <c r="G270" s="4" t="s">
        <v>1642</v>
      </c>
      <c r="H270" s="4" t="s">
        <v>3107</v>
      </c>
    </row>
    <row r="271" spans="1:8" ht="48" customHeight="1">
      <c r="A271" s="3" t="s">
        <v>506</v>
      </c>
      <c r="B271" s="3" t="s">
        <v>3155</v>
      </c>
      <c r="C271" s="3" t="s">
        <v>1465</v>
      </c>
      <c r="D271" s="3" t="s">
        <v>3156</v>
      </c>
      <c r="E271" s="8">
        <v>1031</v>
      </c>
      <c r="F271" s="3" t="s">
        <v>1396</v>
      </c>
      <c r="G271" s="3" t="s">
        <v>1642</v>
      </c>
      <c r="H271" s="3" t="s">
        <v>3107</v>
      </c>
    </row>
    <row r="272" spans="1:8" ht="48" customHeight="1">
      <c r="A272" s="4" t="s">
        <v>506</v>
      </c>
      <c r="B272" s="4" t="s">
        <v>3157</v>
      </c>
      <c r="C272" s="4" t="s">
        <v>1465</v>
      </c>
      <c r="D272" s="4" t="s">
        <v>3158</v>
      </c>
      <c r="E272" s="9">
        <v>1030</v>
      </c>
      <c r="F272" s="4" t="s">
        <v>1396</v>
      </c>
      <c r="G272" s="4" t="s">
        <v>1642</v>
      </c>
      <c r="H272" s="4" t="s">
        <v>3107</v>
      </c>
    </row>
    <row r="273" spans="1:8" ht="48" customHeight="1">
      <c r="A273" s="3" t="s">
        <v>506</v>
      </c>
      <c r="B273" s="3" t="s">
        <v>3159</v>
      </c>
      <c r="C273" s="3" t="s">
        <v>1465</v>
      </c>
      <c r="D273" s="3" t="s">
        <v>3160</v>
      </c>
      <c r="E273" s="8">
        <v>1030</v>
      </c>
      <c r="F273" s="3" t="s">
        <v>1396</v>
      </c>
      <c r="G273" s="3" t="s">
        <v>1642</v>
      </c>
      <c r="H273" s="3" t="s">
        <v>3107</v>
      </c>
    </row>
    <row r="274" spans="1:8" ht="48" customHeight="1">
      <c r="A274" s="4" t="s">
        <v>246</v>
      </c>
      <c r="B274" s="4" t="s">
        <v>2145</v>
      </c>
      <c r="C274" s="4" t="s">
        <v>1643</v>
      </c>
      <c r="D274" s="4" t="s">
        <v>2146</v>
      </c>
      <c r="E274" s="9">
        <v>2776</v>
      </c>
      <c r="F274" s="4" t="s">
        <v>1865</v>
      </c>
      <c r="G274" s="4" t="s">
        <v>1642</v>
      </c>
      <c r="H274" s="4" t="s">
        <v>3161</v>
      </c>
    </row>
    <row r="275" spans="1:8" ht="30" customHeight="1">
      <c r="A275" s="3" t="s">
        <v>246</v>
      </c>
      <c r="B275" s="3" t="s">
        <v>2147</v>
      </c>
      <c r="C275" s="3" t="s">
        <v>1643</v>
      </c>
      <c r="D275" s="3" t="s">
        <v>2889</v>
      </c>
      <c r="E275" s="8">
        <v>2435</v>
      </c>
      <c r="F275" s="3" t="s">
        <v>1778</v>
      </c>
      <c r="G275" s="3" t="s">
        <v>1642</v>
      </c>
      <c r="H275" s="3" t="s">
        <v>3162</v>
      </c>
    </row>
    <row r="276" spans="1:8" ht="48" customHeight="1">
      <c r="A276" s="4" t="s">
        <v>246</v>
      </c>
      <c r="B276" s="4" t="s">
        <v>3163</v>
      </c>
      <c r="C276" s="4" t="s">
        <v>1465</v>
      </c>
      <c r="D276" s="4" t="s">
        <v>3164</v>
      </c>
      <c r="E276" s="9">
        <v>2777</v>
      </c>
      <c r="F276" s="4" t="s">
        <v>1865</v>
      </c>
      <c r="G276" s="4" t="s">
        <v>1642</v>
      </c>
      <c r="H276" s="4" t="s">
        <v>3165</v>
      </c>
    </row>
    <row r="277" spans="1:8" ht="48" customHeight="1">
      <c r="A277" s="3" t="s">
        <v>246</v>
      </c>
      <c r="B277" s="3" t="s">
        <v>2891</v>
      </c>
      <c r="C277" s="3" t="s">
        <v>1465</v>
      </c>
      <c r="D277" s="3" t="s">
        <v>2892</v>
      </c>
      <c r="E277" s="8">
        <v>2435</v>
      </c>
      <c r="F277" s="3" t="s">
        <v>1778</v>
      </c>
      <c r="G277" s="3" t="s">
        <v>1642</v>
      </c>
      <c r="H277" s="3" t="s">
        <v>3166</v>
      </c>
    </row>
    <row r="278" spans="1:8" ht="48" customHeight="1">
      <c r="A278" s="4" t="s">
        <v>246</v>
      </c>
      <c r="B278" s="4" t="s">
        <v>3167</v>
      </c>
      <c r="C278" s="4" t="s">
        <v>1465</v>
      </c>
      <c r="D278" s="4" t="s">
        <v>3168</v>
      </c>
      <c r="E278" s="9">
        <v>1598</v>
      </c>
      <c r="F278" s="4" t="s">
        <v>2333</v>
      </c>
      <c r="G278" s="4" t="s">
        <v>1664</v>
      </c>
      <c r="H278" s="4" t="s">
        <v>3169</v>
      </c>
    </row>
    <row r="279" spans="1:8" ht="30" customHeight="1">
      <c r="A279" s="3" t="s">
        <v>715</v>
      </c>
      <c r="B279" s="3" t="s">
        <v>716</v>
      </c>
      <c r="C279" s="3" t="s">
        <v>1643</v>
      </c>
      <c r="D279" s="3" t="s">
        <v>1871</v>
      </c>
      <c r="E279" s="8">
        <v>2753</v>
      </c>
      <c r="F279" s="3" t="s">
        <v>1865</v>
      </c>
      <c r="G279" s="3" t="s">
        <v>1642</v>
      </c>
      <c r="H279" s="3" t="s">
        <v>3170</v>
      </c>
    </row>
    <row r="280" spans="1:8" ht="30" customHeight="1">
      <c r="A280" s="4" t="s">
        <v>715</v>
      </c>
      <c r="B280" s="4" t="s">
        <v>1872</v>
      </c>
      <c r="C280" s="4" t="s">
        <v>1643</v>
      </c>
      <c r="D280" s="4" t="s">
        <v>3171</v>
      </c>
      <c r="E280" s="9">
        <v>1534</v>
      </c>
      <c r="F280" s="4" t="s">
        <v>1351</v>
      </c>
      <c r="G280" s="4" t="s">
        <v>1664</v>
      </c>
      <c r="H280" s="4" t="s">
        <v>3172</v>
      </c>
    </row>
    <row r="281" spans="1:8" ht="30" customHeight="1">
      <c r="A281" s="3" t="s">
        <v>715</v>
      </c>
      <c r="B281" s="3" t="s">
        <v>3173</v>
      </c>
      <c r="C281" s="3" t="s">
        <v>1465</v>
      </c>
      <c r="D281" s="3" t="s">
        <v>3174</v>
      </c>
      <c r="E281" s="8">
        <v>1596</v>
      </c>
      <c r="F281" s="3" t="s">
        <v>2333</v>
      </c>
      <c r="G281" s="3" t="s">
        <v>1664</v>
      </c>
      <c r="H281" s="3" t="s">
        <v>3175</v>
      </c>
    </row>
    <row r="282" spans="1:8" ht="48" customHeight="1">
      <c r="A282" s="4" t="s">
        <v>715</v>
      </c>
      <c r="B282" s="4" t="s">
        <v>3176</v>
      </c>
      <c r="C282" s="4" t="s">
        <v>1465</v>
      </c>
      <c r="D282" s="4" t="s">
        <v>3177</v>
      </c>
      <c r="E282" s="9">
        <v>1576</v>
      </c>
      <c r="F282" s="4" t="s">
        <v>1672</v>
      </c>
      <c r="G282" s="4" t="s">
        <v>1664</v>
      </c>
      <c r="H282" s="4" t="s">
        <v>3178</v>
      </c>
    </row>
    <row r="283" spans="1:8" ht="48" customHeight="1">
      <c r="A283" s="3" t="s">
        <v>532</v>
      </c>
      <c r="B283" s="3" t="s">
        <v>2075</v>
      </c>
      <c r="C283" s="3" t="s">
        <v>1643</v>
      </c>
      <c r="D283" s="3" t="s">
        <v>3116</v>
      </c>
      <c r="E283" s="8">
        <v>2994</v>
      </c>
      <c r="F283" s="3" t="s">
        <v>3057</v>
      </c>
      <c r="G283" s="3" t="s">
        <v>1664</v>
      </c>
      <c r="H283" s="3" t="s">
        <v>3179</v>
      </c>
    </row>
    <row r="284" spans="1:8" ht="30" customHeight="1">
      <c r="A284" s="4" t="s">
        <v>532</v>
      </c>
      <c r="B284" s="4" t="s">
        <v>2073</v>
      </c>
      <c r="C284" s="4" t="s">
        <v>1643</v>
      </c>
      <c r="D284" s="4" t="s">
        <v>2074</v>
      </c>
      <c r="E284" s="9">
        <v>1204</v>
      </c>
      <c r="F284" s="4" t="s">
        <v>1380</v>
      </c>
      <c r="G284" s="4" t="s">
        <v>1642</v>
      </c>
      <c r="H284" s="4" t="s">
        <v>3180</v>
      </c>
    </row>
    <row r="285" spans="1:8" ht="30" customHeight="1">
      <c r="A285" s="3" t="s">
        <v>532</v>
      </c>
      <c r="B285" s="3" t="s">
        <v>3181</v>
      </c>
      <c r="C285" s="3" t="s">
        <v>1465</v>
      </c>
      <c r="D285" s="3" t="s">
        <v>3182</v>
      </c>
      <c r="E285" s="8">
        <v>2438</v>
      </c>
      <c r="F285" s="3" t="s">
        <v>1778</v>
      </c>
      <c r="G285" s="3" t="s">
        <v>1642</v>
      </c>
      <c r="H285" s="3" t="s">
        <v>3183</v>
      </c>
    </row>
    <row r="286" spans="1:8" ht="30" customHeight="1">
      <c r="A286" s="4" t="s">
        <v>463</v>
      </c>
      <c r="B286" s="4" t="s">
        <v>2056</v>
      </c>
      <c r="C286" s="4" t="s">
        <v>1643</v>
      </c>
      <c r="D286" s="4" t="s">
        <v>2057</v>
      </c>
      <c r="E286" s="9">
        <v>6141</v>
      </c>
      <c r="F286" s="4" t="s">
        <v>2058</v>
      </c>
      <c r="G286" s="4" t="s">
        <v>1664</v>
      </c>
      <c r="H286" s="4" t="s">
        <v>3184</v>
      </c>
    </row>
    <row r="287" spans="1:8" ht="30" customHeight="1">
      <c r="A287" s="3" t="s">
        <v>463</v>
      </c>
      <c r="B287" s="3" t="s">
        <v>3185</v>
      </c>
      <c r="C287" s="3" t="s">
        <v>1465</v>
      </c>
      <c r="D287" s="3" t="s">
        <v>3186</v>
      </c>
      <c r="E287" s="8">
        <v>2777</v>
      </c>
      <c r="F287" s="3" t="s">
        <v>1865</v>
      </c>
      <c r="G287" s="3" t="s">
        <v>1642</v>
      </c>
      <c r="H287" s="3" t="s">
        <v>3187</v>
      </c>
    </row>
    <row r="288" spans="1:8" ht="30" customHeight="1">
      <c r="A288" s="4" t="s">
        <v>463</v>
      </c>
      <c r="B288" s="4" t="s">
        <v>3188</v>
      </c>
      <c r="C288" s="4" t="s">
        <v>1465</v>
      </c>
      <c r="D288" s="4" t="s">
        <v>3189</v>
      </c>
      <c r="E288" s="9">
        <v>1594</v>
      </c>
      <c r="F288" s="4" t="s">
        <v>2333</v>
      </c>
      <c r="G288" s="4" t="s">
        <v>1664</v>
      </c>
      <c r="H288" s="4" t="s">
        <v>3190</v>
      </c>
    </row>
    <row r="289" spans="1:8" ht="30" customHeight="1">
      <c r="A289" s="3" t="s">
        <v>463</v>
      </c>
      <c r="B289" s="3" t="s">
        <v>3191</v>
      </c>
      <c r="C289" s="3" t="s">
        <v>1465</v>
      </c>
      <c r="D289" s="3" t="s">
        <v>3192</v>
      </c>
      <c r="E289" s="8">
        <v>1586</v>
      </c>
      <c r="F289" s="3" t="s">
        <v>2333</v>
      </c>
      <c r="G289" s="3" t="s">
        <v>1664</v>
      </c>
      <c r="H289" s="3" t="s">
        <v>3193</v>
      </c>
    </row>
    <row r="290" spans="1:8" ht="30" customHeight="1">
      <c r="A290" s="4" t="s">
        <v>463</v>
      </c>
      <c r="B290" s="4" t="s">
        <v>3194</v>
      </c>
      <c r="C290" s="4" t="s">
        <v>1465</v>
      </c>
      <c r="D290" s="4" t="s">
        <v>3195</v>
      </c>
      <c r="E290" s="9">
        <v>1497</v>
      </c>
      <c r="F290" s="4" t="s">
        <v>2333</v>
      </c>
      <c r="G290" s="4" t="s">
        <v>1664</v>
      </c>
      <c r="H290" s="4" t="s">
        <v>3196</v>
      </c>
    </row>
    <row r="291" spans="1:8" ht="48" customHeight="1">
      <c r="A291" s="3" t="s">
        <v>463</v>
      </c>
      <c r="B291" s="3" t="s">
        <v>3197</v>
      </c>
      <c r="C291" s="3" t="s">
        <v>1465</v>
      </c>
      <c r="D291" s="3" t="s">
        <v>3198</v>
      </c>
      <c r="E291" s="8">
        <v>1346</v>
      </c>
      <c r="F291" s="3" t="s">
        <v>2225</v>
      </c>
      <c r="G291" s="3" t="s">
        <v>1664</v>
      </c>
      <c r="H291" s="3" t="s">
        <v>3199</v>
      </c>
    </row>
    <row r="292" spans="1:8" ht="48" customHeight="1">
      <c r="A292" s="4" t="s">
        <v>463</v>
      </c>
      <c r="B292" s="4" t="s">
        <v>3200</v>
      </c>
      <c r="C292" s="4" t="s">
        <v>1465</v>
      </c>
      <c r="D292" s="4" t="s">
        <v>3201</v>
      </c>
      <c r="E292" s="9">
        <v>1346</v>
      </c>
      <c r="F292" s="4" t="s">
        <v>2225</v>
      </c>
      <c r="G292" s="4" t="s">
        <v>1664</v>
      </c>
      <c r="H292" s="4" t="s">
        <v>3202</v>
      </c>
    </row>
    <row r="293" spans="1:8" ht="30" customHeight="1">
      <c r="A293" s="3" t="s">
        <v>463</v>
      </c>
      <c r="B293" s="3" t="s">
        <v>2867</v>
      </c>
      <c r="C293" s="3" t="s">
        <v>1465</v>
      </c>
      <c r="D293" s="3" t="s">
        <v>2868</v>
      </c>
      <c r="E293" s="8">
        <v>1230</v>
      </c>
      <c r="F293" s="3" t="s">
        <v>1370</v>
      </c>
      <c r="G293" s="3" t="s">
        <v>1642</v>
      </c>
      <c r="H293" s="3" t="s">
        <v>3203</v>
      </c>
    </row>
    <row r="294" spans="1:8" ht="30" customHeight="1">
      <c r="A294" s="4" t="s">
        <v>463</v>
      </c>
      <c r="B294" s="4" t="s">
        <v>3204</v>
      </c>
      <c r="C294" s="4" t="s">
        <v>1465</v>
      </c>
      <c r="D294" s="4" t="s">
        <v>3205</v>
      </c>
      <c r="E294" s="9">
        <v>1228</v>
      </c>
      <c r="F294" s="4" t="s">
        <v>1370</v>
      </c>
      <c r="G294" s="4" t="s">
        <v>1642</v>
      </c>
      <c r="H294" s="4" t="s">
        <v>3206</v>
      </c>
    </row>
    <row r="295" spans="1:8" ht="30" customHeight="1">
      <c r="A295" s="3" t="s">
        <v>463</v>
      </c>
      <c r="B295" s="3" t="s">
        <v>3063</v>
      </c>
      <c r="C295" s="3" t="s">
        <v>1465</v>
      </c>
      <c r="D295" s="3" t="s">
        <v>3064</v>
      </c>
      <c r="E295" s="8">
        <v>1223</v>
      </c>
      <c r="F295" s="3" t="s">
        <v>1370</v>
      </c>
      <c r="G295" s="3" t="s">
        <v>1642</v>
      </c>
      <c r="H295" s="3" t="s">
        <v>3207</v>
      </c>
    </row>
    <row r="296" spans="1:8" ht="30" customHeight="1">
      <c r="A296" s="4" t="s">
        <v>463</v>
      </c>
      <c r="B296" s="4" t="s">
        <v>3208</v>
      </c>
      <c r="C296" s="4" t="s">
        <v>1465</v>
      </c>
      <c r="D296" s="4" t="s">
        <v>3209</v>
      </c>
      <c r="E296" s="9">
        <v>1042</v>
      </c>
      <c r="F296" s="4" t="s">
        <v>1394</v>
      </c>
      <c r="G296" s="4" t="s">
        <v>1664</v>
      </c>
      <c r="H296" s="4" t="s">
        <v>3210</v>
      </c>
    </row>
    <row r="297" spans="1:8" ht="30" customHeight="1">
      <c r="A297" s="3" t="s">
        <v>236</v>
      </c>
      <c r="B297" s="3" t="s">
        <v>2157</v>
      </c>
      <c r="C297" s="3" t="s">
        <v>1643</v>
      </c>
      <c r="D297" s="3" t="s">
        <v>2158</v>
      </c>
      <c r="E297" s="8">
        <v>2435</v>
      </c>
      <c r="F297" s="3" t="s">
        <v>1778</v>
      </c>
      <c r="G297" s="3" t="s">
        <v>1642</v>
      </c>
      <c r="H297" s="3" t="s">
        <v>3211</v>
      </c>
    </row>
    <row r="298" spans="1:8" ht="48" customHeight="1">
      <c r="A298" s="4" t="s">
        <v>236</v>
      </c>
      <c r="B298" s="4" t="s">
        <v>3212</v>
      </c>
      <c r="C298" s="4" t="s">
        <v>1465</v>
      </c>
      <c r="D298" s="4" t="s">
        <v>3213</v>
      </c>
      <c r="E298" s="9">
        <v>1596</v>
      </c>
      <c r="F298" s="4" t="s">
        <v>2333</v>
      </c>
      <c r="G298" s="4" t="s">
        <v>1664</v>
      </c>
      <c r="H298" s="4" t="s">
        <v>3214</v>
      </c>
    </row>
    <row r="299" spans="1:8" ht="30" customHeight="1">
      <c r="A299" s="3" t="s">
        <v>236</v>
      </c>
      <c r="B299" s="3" t="s">
        <v>3215</v>
      </c>
      <c r="C299" s="3" t="s">
        <v>1465</v>
      </c>
      <c r="D299" s="3" t="s">
        <v>3216</v>
      </c>
      <c r="E299" s="8">
        <v>1174</v>
      </c>
      <c r="F299" s="3" t="s">
        <v>1380</v>
      </c>
      <c r="G299" s="3" t="s">
        <v>1642</v>
      </c>
      <c r="H299" s="3" t="s">
        <v>3217</v>
      </c>
    </row>
    <row r="300" spans="1:8" ht="30" customHeight="1">
      <c r="A300" s="4" t="s">
        <v>832</v>
      </c>
      <c r="B300" s="4" t="s">
        <v>1919</v>
      </c>
      <c r="C300" s="4" t="s">
        <v>1643</v>
      </c>
      <c r="D300" s="4" t="s">
        <v>1920</v>
      </c>
      <c r="E300" s="9">
        <v>1430</v>
      </c>
      <c r="F300" s="4" t="s">
        <v>1356</v>
      </c>
      <c r="G300" s="4" t="s">
        <v>1664</v>
      </c>
      <c r="H300" s="4" t="s">
        <v>3218</v>
      </c>
    </row>
    <row r="301" spans="1:8" ht="30" customHeight="1">
      <c r="A301" s="3" t="s">
        <v>832</v>
      </c>
      <c r="B301" s="3" t="s">
        <v>3219</v>
      </c>
      <c r="C301" s="3" t="s">
        <v>1465</v>
      </c>
      <c r="D301" s="3" t="s">
        <v>3220</v>
      </c>
      <c r="E301" s="8">
        <v>1061</v>
      </c>
      <c r="F301" s="3" t="s">
        <v>1356</v>
      </c>
      <c r="G301" s="3" t="s">
        <v>1664</v>
      </c>
      <c r="H301" s="3" t="s">
        <v>3221</v>
      </c>
    </row>
    <row r="302" spans="1:8" ht="48" customHeight="1">
      <c r="A302" s="4" t="s">
        <v>2398</v>
      </c>
      <c r="B302" s="4" t="s">
        <v>2400</v>
      </c>
      <c r="C302" s="4" t="s">
        <v>1465</v>
      </c>
      <c r="D302" s="4" t="s">
        <v>2401</v>
      </c>
      <c r="E302" s="9">
        <v>1424</v>
      </c>
      <c r="F302" s="4" t="s">
        <v>1356</v>
      </c>
      <c r="G302" s="4" t="s">
        <v>1664</v>
      </c>
      <c r="H302" s="4" t="s">
        <v>3222</v>
      </c>
    </row>
    <row r="303" spans="1:8" ht="48" customHeight="1">
      <c r="A303" s="3" t="s">
        <v>2402</v>
      </c>
      <c r="B303" s="3" t="s">
        <v>2400</v>
      </c>
      <c r="C303" s="3" t="s">
        <v>1465</v>
      </c>
      <c r="D303" s="3" t="s">
        <v>2401</v>
      </c>
      <c r="E303" s="8">
        <v>1424</v>
      </c>
      <c r="F303" s="3" t="s">
        <v>1356</v>
      </c>
      <c r="G303" s="3" t="s">
        <v>1664</v>
      </c>
      <c r="H303" s="3" t="s">
        <v>3222</v>
      </c>
    </row>
    <row r="304" spans="1:8" ht="48" customHeight="1">
      <c r="A304" s="4" t="s">
        <v>2440</v>
      </c>
      <c r="B304" s="4" t="s">
        <v>1958</v>
      </c>
      <c r="C304" s="4" t="s">
        <v>1465</v>
      </c>
      <c r="D304" s="4" t="s">
        <v>1959</v>
      </c>
      <c r="E304" s="9">
        <v>1211</v>
      </c>
      <c r="F304" s="4" t="s">
        <v>1376</v>
      </c>
      <c r="G304" s="4" t="s">
        <v>1642</v>
      </c>
      <c r="H304" s="4" t="s">
        <v>3223</v>
      </c>
    </row>
    <row r="305" spans="1:8" ht="48" customHeight="1">
      <c r="A305" s="3" t="s">
        <v>2408</v>
      </c>
      <c r="B305" s="3" t="s">
        <v>2410</v>
      </c>
      <c r="C305" s="3" t="s">
        <v>1465</v>
      </c>
      <c r="D305" s="3" t="s">
        <v>2411</v>
      </c>
      <c r="E305" s="8">
        <v>1396</v>
      </c>
      <c r="F305" s="3" t="s">
        <v>1796</v>
      </c>
      <c r="G305" s="3" t="s">
        <v>1664</v>
      </c>
      <c r="H305" s="3" t="s">
        <v>3224</v>
      </c>
    </row>
    <row r="306" spans="1:8" ht="30" customHeight="1">
      <c r="A306" s="4" t="s">
        <v>2259</v>
      </c>
      <c r="B306" s="4" t="s">
        <v>2261</v>
      </c>
      <c r="C306" s="4" t="s">
        <v>1465</v>
      </c>
      <c r="D306" s="4" t="s">
        <v>2262</v>
      </c>
      <c r="E306" s="9">
        <v>2553</v>
      </c>
      <c r="F306" s="4" t="s">
        <v>2263</v>
      </c>
      <c r="G306" s="4" t="s">
        <v>1642</v>
      </c>
      <c r="H306" s="4" t="s">
        <v>3225</v>
      </c>
    </row>
    <row r="307" spans="1:8" ht="30" customHeight="1">
      <c r="A307" s="3" t="s">
        <v>2259</v>
      </c>
      <c r="B307" s="3" t="s">
        <v>3226</v>
      </c>
      <c r="C307" s="3" t="s">
        <v>1465</v>
      </c>
      <c r="D307" s="3" t="s">
        <v>3227</v>
      </c>
      <c r="E307" s="8">
        <v>2552</v>
      </c>
      <c r="F307" s="3" t="s">
        <v>2263</v>
      </c>
      <c r="G307" s="3" t="s">
        <v>1642</v>
      </c>
      <c r="H307" s="3" t="s">
        <v>3228</v>
      </c>
    </row>
    <row r="308" spans="1:8" ht="30" customHeight="1">
      <c r="A308" s="4" t="s">
        <v>2259</v>
      </c>
      <c r="B308" s="4" t="s">
        <v>3229</v>
      </c>
      <c r="C308" s="4" t="s">
        <v>1465</v>
      </c>
      <c r="D308" s="4" t="s">
        <v>3230</v>
      </c>
      <c r="E308" s="9">
        <v>1535</v>
      </c>
      <c r="F308" s="4" t="s">
        <v>1351</v>
      </c>
      <c r="G308" s="4" t="s">
        <v>1664</v>
      </c>
      <c r="H308" s="4" t="s">
        <v>3231</v>
      </c>
    </row>
    <row r="309" spans="1:8" ht="30" customHeight="1">
      <c r="A309" s="3" t="s">
        <v>2259</v>
      </c>
      <c r="B309" s="3" t="s">
        <v>3232</v>
      </c>
      <c r="C309" s="3" t="s">
        <v>1465</v>
      </c>
      <c r="D309" s="3" t="s">
        <v>3233</v>
      </c>
      <c r="E309" s="8">
        <v>1535</v>
      </c>
      <c r="F309" s="3" t="s">
        <v>1351</v>
      </c>
      <c r="G309" s="3" t="s">
        <v>1664</v>
      </c>
      <c r="H309" s="3" t="s">
        <v>3234</v>
      </c>
    </row>
    <row r="310" spans="1:8" ht="30" customHeight="1">
      <c r="A310" s="4" t="s">
        <v>2259</v>
      </c>
      <c r="B310" s="4" t="s">
        <v>3235</v>
      </c>
      <c r="C310" s="4" t="s">
        <v>1465</v>
      </c>
      <c r="D310" s="4" t="s">
        <v>3236</v>
      </c>
      <c r="E310" s="9">
        <v>1535</v>
      </c>
      <c r="F310" s="4" t="s">
        <v>1351</v>
      </c>
      <c r="G310" s="4" t="s">
        <v>1664</v>
      </c>
      <c r="H310" s="4" t="s">
        <v>3237</v>
      </c>
    </row>
    <row r="311" spans="1:8" ht="48" customHeight="1">
      <c r="A311" s="3" t="s">
        <v>2259</v>
      </c>
      <c r="B311" s="3" t="s">
        <v>3238</v>
      </c>
      <c r="C311" s="3" t="s">
        <v>1465</v>
      </c>
      <c r="D311" s="3" t="s">
        <v>3239</v>
      </c>
      <c r="E311" s="8">
        <v>1535</v>
      </c>
      <c r="F311" s="3" t="s">
        <v>1351</v>
      </c>
      <c r="G311" s="3" t="s">
        <v>1664</v>
      </c>
      <c r="H311" s="3" t="s">
        <v>3240</v>
      </c>
    </row>
    <row r="312" spans="1:8" ht="30" customHeight="1">
      <c r="A312" s="4" t="s">
        <v>2259</v>
      </c>
      <c r="B312" s="4" t="s">
        <v>3241</v>
      </c>
      <c r="C312" s="4" t="s">
        <v>1465</v>
      </c>
      <c r="D312" s="4" t="s">
        <v>3242</v>
      </c>
      <c r="E312" s="9">
        <v>1535</v>
      </c>
      <c r="F312" s="4" t="s">
        <v>1351</v>
      </c>
      <c r="G312" s="4" t="s">
        <v>1664</v>
      </c>
      <c r="H312" s="4" t="s">
        <v>3243</v>
      </c>
    </row>
    <row r="313" spans="1:8" ht="30" customHeight="1">
      <c r="A313" s="3" t="s">
        <v>2259</v>
      </c>
      <c r="B313" s="3" t="s">
        <v>3244</v>
      </c>
      <c r="C313" s="3" t="s">
        <v>1465</v>
      </c>
      <c r="D313" s="3" t="s">
        <v>3245</v>
      </c>
      <c r="E313" s="8">
        <v>1535</v>
      </c>
      <c r="F313" s="3" t="s">
        <v>1351</v>
      </c>
      <c r="G313" s="3" t="s">
        <v>1664</v>
      </c>
      <c r="H313" s="3" t="s">
        <v>3246</v>
      </c>
    </row>
    <row r="314" spans="1:8" ht="48" customHeight="1">
      <c r="A314" s="4" t="s">
        <v>2259</v>
      </c>
      <c r="B314" s="4" t="s">
        <v>3247</v>
      </c>
      <c r="C314" s="4" t="s">
        <v>1465</v>
      </c>
      <c r="D314" s="4" t="s">
        <v>3248</v>
      </c>
      <c r="E314" s="9">
        <v>1396</v>
      </c>
      <c r="F314" s="4" t="s">
        <v>1796</v>
      </c>
      <c r="G314" s="4" t="s">
        <v>1664</v>
      </c>
      <c r="H314" s="4" t="s">
        <v>3249</v>
      </c>
    </row>
    <row r="315" spans="1:8" ht="48" customHeight="1">
      <c r="A315" s="3" t="s">
        <v>2259</v>
      </c>
      <c r="B315" s="3" t="s">
        <v>3250</v>
      </c>
      <c r="C315" s="3" t="s">
        <v>1465</v>
      </c>
      <c r="D315" s="3" t="s">
        <v>3251</v>
      </c>
      <c r="E315" s="8">
        <v>1396</v>
      </c>
      <c r="F315" s="3" t="s">
        <v>1796</v>
      </c>
      <c r="G315" s="3" t="s">
        <v>1664</v>
      </c>
      <c r="H315" s="3" t="s">
        <v>3249</v>
      </c>
    </row>
    <row r="316" spans="1:8" ht="48" customHeight="1">
      <c r="A316" s="4" t="s">
        <v>2259</v>
      </c>
      <c r="B316" s="4" t="s">
        <v>3252</v>
      </c>
      <c r="C316" s="4" t="s">
        <v>1465</v>
      </c>
      <c r="D316" s="4" t="s">
        <v>3253</v>
      </c>
      <c r="E316" s="9">
        <v>1396</v>
      </c>
      <c r="F316" s="4" t="s">
        <v>1796</v>
      </c>
      <c r="G316" s="4" t="s">
        <v>1664</v>
      </c>
      <c r="H316" s="4" t="s">
        <v>3249</v>
      </c>
    </row>
    <row r="317" spans="1:8" ht="48" customHeight="1">
      <c r="A317" s="3" t="s">
        <v>2259</v>
      </c>
      <c r="B317" s="3" t="s">
        <v>3254</v>
      </c>
      <c r="C317" s="3" t="s">
        <v>1465</v>
      </c>
      <c r="D317" s="3" t="s">
        <v>3255</v>
      </c>
      <c r="E317" s="8">
        <v>1396</v>
      </c>
      <c r="F317" s="3" t="s">
        <v>1796</v>
      </c>
      <c r="G317" s="3" t="s">
        <v>1664</v>
      </c>
      <c r="H317" s="3" t="s">
        <v>3249</v>
      </c>
    </row>
    <row r="318" spans="1:8" ht="48" customHeight="1">
      <c r="A318" s="4" t="s">
        <v>2259</v>
      </c>
      <c r="B318" s="4" t="s">
        <v>3256</v>
      </c>
      <c r="C318" s="4" t="s">
        <v>1465</v>
      </c>
      <c r="D318" s="4" t="s">
        <v>3257</v>
      </c>
      <c r="E318" s="9">
        <v>1396</v>
      </c>
      <c r="F318" s="4" t="s">
        <v>1796</v>
      </c>
      <c r="G318" s="4" t="s">
        <v>1664</v>
      </c>
      <c r="H318" s="4" t="s">
        <v>3249</v>
      </c>
    </row>
    <row r="319" spans="1:8" ht="48" customHeight="1">
      <c r="A319" s="3" t="s">
        <v>2259</v>
      </c>
      <c r="B319" s="3" t="s">
        <v>3258</v>
      </c>
      <c r="C319" s="3" t="s">
        <v>1465</v>
      </c>
      <c r="D319" s="3" t="s">
        <v>3259</v>
      </c>
      <c r="E319" s="8">
        <v>1396</v>
      </c>
      <c r="F319" s="3" t="s">
        <v>1796</v>
      </c>
      <c r="G319" s="3" t="s">
        <v>1664</v>
      </c>
      <c r="H319" s="3" t="s">
        <v>3249</v>
      </c>
    </row>
    <row r="320" spans="1:8" ht="48" customHeight="1">
      <c r="A320" s="4" t="s">
        <v>2259</v>
      </c>
      <c r="B320" s="4" t="s">
        <v>3260</v>
      </c>
      <c r="C320" s="4" t="s">
        <v>1465</v>
      </c>
      <c r="D320" s="4" t="s">
        <v>3261</v>
      </c>
      <c r="E320" s="9">
        <v>1396</v>
      </c>
      <c r="F320" s="4" t="s">
        <v>1796</v>
      </c>
      <c r="G320" s="4" t="s">
        <v>1664</v>
      </c>
      <c r="H320" s="4" t="s">
        <v>3249</v>
      </c>
    </row>
    <row r="321" spans="1:8" ht="48" customHeight="1">
      <c r="A321" s="3" t="s">
        <v>2259</v>
      </c>
      <c r="B321" s="3" t="s">
        <v>3262</v>
      </c>
      <c r="C321" s="3" t="s">
        <v>1465</v>
      </c>
      <c r="D321" s="3" t="s">
        <v>3263</v>
      </c>
      <c r="E321" s="8">
        <v>1396</v>
      </c>
      <c r="F321" s="3" t="s">
        <v>1796</v>
      </c>
      <c r="G321" s="3" t="s">
        <v>1664</v>
      </c>
      <c r="H321" s="3" t="s">
        <v>3249</v>
      </c>
    </row>
    <row r="322" spans="1:8" ht="48" customHeight="1">
      <c r="A322" s="4" t="s">
        <v>2259</v>
      </c>
      <c r="B322" s="4" t="s">
        <v>3264</v>
      </c>
      <c r="C322" s="4" t="s">
        <v>1465</v>
      </c>
      <c r="D322" s="4" t="s">
        <v>3265</v>
      </c>
      <c r="E322" s="9">
        <v>1396</v>
      </c>
      <c r="F322" s="4" t="s">
        <v>1796</v>
      </c>
      <c r="G322" s="4" t="s">
        <v>1664</v>
      </c>
      <c r="H322" s="4" t="s">
        <v>3249</v>
      </c>
    </row>
    <row r="323" spans="1:8" ht="48" customHeight="1">
      <c r="A323" s="3" t="s">
        <v>2259</v>
      </c>
      <c r="B323" s="3" t="s">
        <v>3266</v>
      </c>
      <c r="C323" s="3" t="s">
        <v>1465</v>
      </c>
      <c r="D323" s="3" t="s">
        <v>3267</v>
      </c>
      <c r="E323" s="8">
        <v>1396</v>
      </c>
      <c r="F323" s="3" t="s">
        <v>1796</v>
      </c>
      <c r="G323" s="3" t="s">
        <v>1664</v>
      </c>
      <c r="H323" s="3" t="s">
        <v>3249</v>
      </c>
    </row>
    <row r="324" spans="1:8" ht="48" customHeight="1">
      <c r="A324" s="4" t="s">
        <v>2259</v>
      </c>
      <c r="B324" s="4" t="s">
        <v>3268</v>
      </c>
      <c r="C324" s="4" t="s">
        <v>1465</v>
      </c>
      <c r="D324" s="4" t="s">
        <v>3269</v>
      </c>
      <c r="E324" s="9">
        <v>1396</v>
      </c>
      <c r="F324" s="4" t="s">
        <v>1796</v>
      </c>
      <c r="G324" s="4" t="s">
        <v>1664</v>
      </c>
      <c r="H324" s="4" t="s">
        <v>3249</v>
      </c>
    </row>
    <row r="325" spans="1:8" ht="48" customHeight="1">
      <c r="A325" s="3" t="s">
        <v>2259</v>
      </c>
      <c r="B325" s="3" t="s">
        <v>3270</v>
      </c>
      <c r="C325" s="3" t="s">
        <v>1465</v>
      </c>
      <c r="D325" s="3" t="s">
        <v>3271</v>
      </c>
      <c r="E325" s="8">
        <v>1396</v>
      </c>
      <c r="F325" s="3" t="s">
        <v>1796</v>
      </c>
      <c r="G325" s="3" t="s">
        <v>1664</v>
      </c>
      <c r="H325" s="3" t="s">
        <v>3249</v>
      </c>
    </row>
    <row r="326" spans="1:8" ht="48" customHeight="1">
      <c r="A326" s="4" t="s">
        <v>2259</v>
      </c>
      <c r="B326" s="4" t="s">
        <v>3272</v>
      </c>
      <c r="C326" s="4" t="s">
        <v>1465</v>
      </c>
      <c r="D326" s="4" t="s">
        <v>3273</v>
      </c>
      <c r="E326" s="9">
        <v>1396</v>
      </c>
      <c r="F326" s="4" t="s">
        <v>1796</v>
      </c>
      <c r="G326" s="4" t="s">
        <v>1664</v>
      </c>
      <c r="H326" s="4" t="s">
        <v>3249</v>
      </c>
    </row>
    <row r="327" spans="1:8" ht="48" customHeight="1">
      <c r="A327" s="3" t="s">
        <v>2259</v>
      </c>
      <c r="B327" s="3" t="s">
        <v>3274</v>
      </c>
      <c r="C327" s="3" t="s">
        <v>1465</v>
      </c>
      <c r="D327" s="3" t="s">
        <v>3275</v>
      </c>
      <c r="E327" s="8">
        <v>1396</v>
      </c>
      <c r="F327" s="3" t="s">
        <v>1796</v>
      </c>
      <c r="G327" s="3" t="s">
        <v>1664</v>
      </c>
      <c r="H327" s="3" t="s">
        <v>3249</v>
      </c>
    </row>
    <row r="328" spans="1:8" ht="48" customHeight="1">
      <c r="A328" s="4" t="s">
        <v>2259</v>
      </c>
      <c r="B328" s="4" t="s">
        <v>3276</v>
      </c>
      <c r="C328" s="4" t="s">
        <v>1465</v>
      </c>
      <c r="D328" s="4" t="s">
        <v>3277</v>
      </c>
      <c r="E328" s="9">
        <v>1396</v>
      </c>
      <c r="F328" s="4" t="s">
        <v>1796</v>
      </c>
      <c r="G328" s="4" t="s">
        <v>1664</v>
      </c>
      <c r="H328" s="4" t="s">
        <v>3249</v>
      </c>
    </row>
    <row r="329" spans="1:8" ht="48" customHeight="1">
      <c r="A329" s="3" t="s">
        <v>2259</v>
      </c>
      <c r="B329" s="3" t="s">
        <v>3278</v>
      </c>
      <c r="C329" s="3" t="s">
        <v>1465</v>
      </c>
      <c r="D329" s="3" t="s">
        <v>3279</v>
      </c>
      <c r="E329" s="8">
        <v>1396</v>
      </c>
      <c r="F329" s="3" t="s">
        <v>1796</v>
      </c>
      <c r="G329" s="3" t="s">
        <v>1664</v>
      </c>
      <c r="H329" s="3" t="s">
        <v>3249</v>
      </c>
    </row>
    <row r="330" spans="1:8" ht="48" customHeight="1">
      <c r="A330" s="4" t="s">
        <v>2259</v>
      </c>
      <c r="B330" s="4" t="s">
        <v>3280</v>
      </c>
      <c r="C330" s="4" t="s">
        <v>1465</v>
      </c>
      <c r="D330" s="4" t="s">
        <v>3281</v>
      </c>
      <c r="E330" s="9">
        <v>1396</v>
      </c>
      <c r="F330" s="4" t="s">
        <v>1796</v>
      </c>
      <c r="G330" s="4" t="s">
        <v>1664</v>
      </c>
      <c r="H330" s="4" t="s">
        <v>3249</v>
      </c>
    </row>
    <row r="331" spans="1:8" ht="48" customHeight="1">
      <c r="A331" s="3" t="s">
        <v>2259</v>
      </c>
      <c r="B331" s="3" t="s">
        <v>3282</v>
      </c>
      <c r="C331" s="3" t="s">
        <v>1465</v>
      </c>
      <c r="D331" s="3" t="s">
        <v>3283</v>
      </c>
      <c r="E331" s="8">
        <v>1396</v>
      </c>
      <c r="F331" s="3" t="s">
        <v>1796</v>
      </c>
      <c r="G331" s="3" t="s">
        <v>1664</v>
      </c>
      <c r="H331" s="3" t="s">
        <v>3249</v>
      </c>
    </row>
    <row r="332" spans="1:8" ht="48" customHeight="1">
      <c r="A332" s="4" t="s">
        <v>2259</v>
      </c>
      <c r="B332" s="4" t="s">
        <v>3284</v>
      </c>
      <c r="C332" s="4" t="s">
        <v>1465</v>
      </c>
      <c r="D332" s="4" t="s">
        <v>3285</v>
      </c>
      <c r="E332" s="9">
        <v>1396</v>
      </c>
      <c r="F332" s="4" t="s">
        <v>1796</v>
      </c>
      <c r="G332" s="4" t="s">
        <v>1664</v>
      </c>
      <c r="H332" s="4" t="s">
        <v>3249</v>
      </c>
    </row>
    <row r="333" spans="1:8" ht="48" customHeight="1">
      <c r="A333" s="3" t="s">
        <v>2259</v>
      </c>
      <c r="B333" s="3" t="s">
        <v>3286</v>
      </c>
      <c r="C333" s="3" t="s">
        <v>1465</v>
      </c>
      <c r="D333" s="3" t="s">
        <v>3287</v>
      </c>
      <c r="E333" s="8">
        <v>1396</v>
      </c>
      <c r="F333" s="3" t="s">
        <v>1796</v>
      </c>
      <c r="G333" s="3" t="s">
        <v>1664</v>
      </c>
      <c r="H333" s="3" t="s">
        <v>3249</v>
      </c>
    </row>
    <row r="334" spans="1:8" ht="48" customHeight="1">
      <c r="A334" s="4" t="s">
        <v>2259</v>
      </c>
      <c r="B334" s="4" t="s">
        <v>3288</v>
      </c>
      <c r="C334" s="4" t="s">
        <v>1465</v>
      </c>
      <c r="D334" s="4" t="s">
        <v>3289</v>
      </c>
      <c r="E334" s="9">
        <v>1396</v>
      </c>
      <c r="F334" s="4" t="s">
        <v>1796</v>
      </c>
      <c r="G334" s="4" t="s">
        <v>1664</v>
      </c>
      <c r="H334" s="4" t="s">
        <v>3249</v>
      </c>
    </row>
    <row r="335" spans="1:8" ht="48" customHeight="1">
      <c r="A335" s="3" t="s">
        <v>2259</v>
      </c>
      <c r="B335" s="3" t="s">
        <v>3290</v>
      </c>
      <c r="C335" s="3" t="s">
        <v>1465</v>
      </c>
      <c r="D335" s="3" t="s">
        <v>3291</v>
      </c>
      <c r="E335" s="8">
        <v>1396</v>
      </c>
      <c r="F335" s="3" t="s">
        <v>1796</v>
      </c>
      <c r="G335" s="3" t="s">
        <v>1664</v>
      </c>
      <c r="H335" s="3" t="s">
        <v>3249</v>
      </c>
    </row>
    <row r="336" spans="1:8" ht="48" customHeight="1">
      <c r="A336" s="4" t="s">
        <v>2205</v>
      </c>
      <c r="B336" s="4" t="s">
        <v>2207</v>
      </c>
      <c r="C336" s="4" t="s">
        <v>1465</v>
      </c>
      <c r="D336" s="4" t="s">
        <v>2208</v>
      </c>
      <c r="E336" s="9">
        <v>3634</v>
      </c>
      <c r="F336" s="4" t="s">
        <v>2209</v>
      </c>
      <c r="G336" s="4" t="s">
        <v>1642</v>
      </c>
      <c r="H336" s="4" t="s">
        <v>3292</v>
      </c>
    </row>
    <row r="337" spans="1:8" ht="48" customHeight="1">
      <c r="A337" s="3" t="s">
        <v>2205</v>
      </c>
      <c r="B337" s="3" t="s">
        <v>3293</v>
      </c>
      <c r="C337" s="3" t="s">
        <v>1465</v>
      </c>
      <c r="D337" s="3" t="s">
        <v>3294</v>
      </c>
      <c r="E337" s="8">
        <v>2653</v>
      </c>
      <c r="F337" s="3" t="s">
        <v>1681</v>
      </c>
      <c r="G337" s="3" t="s">
        <v>1664</v>
      </c>
      <c r="H337" s="3" t="s">
        <v>3295</v>
      </c>
    </row>
    <row r="338" spans="1:8" ht="48" customHeight="1">
      <c r="A338" s="4" t="s">
        <v>2205</v>
      </c>
      <c r="B338" s="4" t="s">
        <v>3296</v>
      </c>
      <c r="C338" s="4" t="s">
        <v>1465</v>
      </c>
      <c r="D338" s="4" t="s">
        <v>3297</v>
      </c>
      <c r="E338" s="9">
        <v>2622</v>
      </c>
      <c r="F338" s="4" t="s">
        <v>3298</v>
      </c>
      <c r="G338" s="4" t="s">
        <v>1642</v>
      </c>
      <c r="H338" s="4" t="s">
        <v>3299</v>
      </c>
    </row>
    <row r="339" spans="1:8" ht="48" customHeight="1">
      <c r="A339" s="3" t="s">
        <v>2205</v>
      </c>
      <c r="B339" s="3" t="s">
        <v>3300</v>
      </c>
      <c r="C339" s="3" t="s">
        <v>1465</v>
      </c>
      <c r="D339" s="3" t="s">
        <v>3301</v>
      </c>
      <c r="E339" s="8">
        <v>1571</v>
      </c>
      <c r="F339" s="3" t="s">
        <v>2333</v>
      </c>
      <c r="G339" s="3" t="s">
        <v>1664</v>
      </c>
      <c r="H339" s="3" t="s">
        <v>3302</v>
      </c>
    </row>
    <row r="340" spans="1:8" ht="48" customHeight="1">
      <c r="A340" s="4" t="s">
        <v>2205</v>
      </c>
      <c r="B340" s="4" t="s">
        <v>3256</v>
      </c>
      <c r="C340" s="4" t="s">
        <v>1465</v>
      </c>
      <c r="D340" s="4" t="s">
        <v>3257</v>
      </c>
      <c r="E340" s="9">
        <v>1396</v>
      </c>
      <c r="F340" s="4" t="s">
        <v>1796</v>
      </c>
      <c r="G340" s="4" t="s">
        <v>1664</v>
      </c>
      <c r="H340" s="4" t="s">
        <v>3303</v>
      </c>
    </row>
    <row r="341" spans="1:8" ht="48" customHeight="1">
      <c r="A341" s="3" t="s">
        <v>2205</v>
      </c>
      <c r="B341" s="3" t="s">
        <v>3262</v>
      </c>
      <c r="C341" s="3" t="s">
        <v>1465</v>
      </c>
      <c r="D341" s="3" t="s">
        <v>3263</v>
      </c>
      <c r="E341" s="8">
        <v>1396</v>
      </c>
      <c r="F341" s="3" t="s">
        <v>1796</v>
      </c>
      <c r="G341" s="3" t="s">
        <v>1664</v>
      </c>
      <c r="H341" s="3" t="s">
        <v>3304</v>
      </c>
    </row>
    <row r="342" spans="1:8" ht="48" customHeight="1">
      <c r="A342" s="4" t="s">
        <v>2205</v>
      </c>
      <c r="B342" s="4" t="s">
        <v>3266</v>
      </c>
      <c r="C342" s="4" t="s">
        <v>1465</v>
      </c>
      <c r="D342" s="4" t="s">
        <v>3267</v>
      </c>
      <c r="E342" s="9">
        <v>1396</v>
      </c>
      <c r="F342" s="4" t="s">
        <v>1796</v>
      </c>
      <c r="G342" s="4" t="s">
        <v>1664</v>
      </c>
      <c r="H342" s="4" t="s">
        <v>3305</v>
      </c>
    </row>
    <row r="343" spans="1:8" ht="30" customHeight="1">
      <c r="A343" s="3" t="s">
        <v>2238</v>
      </c>
      <c r="B343" s="3" t="s">
        <v>2240</v>
      </c>
      <c r="C343" s="3" t="s">
        <v>1465</v>
      </c>
      <c r="D343" s="3" t="s">
        <v>2241</v>
      </c>
      <c r="E343" s="8">
        <v>2626</v>
      </c>
      <c r="F343" s="3" t="s">
        <v>1690</v>
      </c>
      <c r="G343" s="3" t="s">
        <v>1642</v>
      </c>
      <c r="H343" s="3" t="s">
        <v>3306</v>
      </c>
    </row>
    <row r="344" spans="1:8" ht="30" customHeight="1">
      <c r="A344" s="4" t="s">
        <v>2238</v>
      </c>
      <c r="B344" s="4" t="s">
        <v>3307</v>
      </c>
      <c r="C344" s="4" t="s">
        <v>1465</v>
      </c>
      <c r="D344" s="4" t="s">
        <v>3308</v>
      </c>
      <c r="E344" s="9">
        <v>2505</v>
      </c>
      <c r="F344" s="4" t="s">
        <v>1684</v>
      </c>
      <c r="G344" s="4" t="s">
        <v>1642</v>
      </c>
      <c r="H344" s="4" t="s">
        <v>3309</v>
      </c>
    </row>
    <row r="345" spans="1:8" ht="30" customHeight="1">
      <c r="A345" s="3" t="s">
        <v>2238</v>
      </c>
      <c r="B345" s="3" t="s">
        <v>3310</v>
      </c>
      <c r="C345" s="3" t="s">
        <v>1465</v>
      </c>
      <c r="D345" s="3" t="s">
        <v>3311</v>
      </c>
      <c r="E345" s="8">
        <v>2504</v>
      </c>
      <c r="F345" s="3" t="s">
        <v>1684</v>
      </c>
      <c r="G345" s="3" t="s">
        <v>1642</v>
      </c>
      <c r="H345" s="3" t="s">
        <v>3309</v>
      </c>
    </row>
    <row r="346" spans="1:8" ht="30" customHeight="1">
      <c r="A346" s="4" t="s">
        <v>2238</v>
      </c>
      <c r="B346" s="4" t="s">
        <v>3312</v>
      </c>
      <c r="C346" s="4" t="s">
        <v>1465</v>
      </c>
      <c r="D346" s="4" t="s">
        <v>3313</v>
      </c>
      <c r="E346" s="9">
        <v>2501</v>
      </c>
      <c r="F346" s="4" t="s">
        <v>1684</v>
      </c>
      <c r="G346" s="4" t="s">
        <v>1642</v>
      </c>
      <c r="H346" s="4" t="s">
        <v>3309</v>
      </c>
    </row>
    <row r="347" spans="1:8" ht="30" customHeight="1">
      <c r="A347" s="3" t="s">
        <v>2238</v>
      </c>
      <c r="B347" s="3" t="s">
        <v>3314</v>
      </c>
      <c r="C347" s="3" t="s">
        <v>1465</v>
      </c>
      <c r="D347" s="3" t="s">
        <v>3315</v>
      </c>
      <c r="E347" s="8">
        <v>2500</v>
      </c>
      <c r="F347" s="3" t="s">
        <v>1684</v>
      </c>
      <c r="G347" s="3" t="s">
        <v>1642</v>
      </c>
      <c r="H347" s="3" t="s">
        <v>3309</v>
      </c>
    </row>
    <row r="348" spans="1:8" ht="30" customHeight="1">
      <c r="A348" s="4" t="s">
        <v>2238</v>
      </c>
      <c r="B348" s="4" t="s">
        <v>3316</v>
      </c>
      <c r="C348" s="4" t="s">
        <v>1465</v>
      </c>
      <c r="D348" s="4" t="s">
        <v>3317</v>
      </c>
      <c r="E348" s="9">
        <v>2500</v>
      </c>
      <c r="F348" s="4" t="s">
        <v>1684</v>
      </c>
      <c r="G348" s="4" t="s">
        <v>1642</v>
      </c>
      <c r="H348" s="4" t="s">
        <v>3309</v>
      </c>
    </row>
    <row r="349" spans="1:8" ht="30" customHeight="1">
      <c r="A349" s="3" t="s">
        <v>2238</v>
      </c>
      <c r="B349" s="3" t="s">
        <v>3318</v>
      </c>
      <c r="C349" s="3" t="s">
        <v>1465</v>
      </c>
      <c r="D349" s="3" t="s">
        <v>3319</v>
      </c>
      <c r="E349" s="8">
        <v>2497</v>
      </c>
      <c r="F349" s="3" t="s">
        <v>1684</v>
      </c>
      <c r="G349" s="3" t="s">
        <v>1642</v>
      </c>
      <c r="H349" s="3" t="s">
        <v>3309</v>
      </c>
    </row>
    <row r="350" spans="1:8" ht="30" customHeight="1">
      <c r="A350" s="4" t="s">
        <v>2238</v>
      </c>
      <c r="B350" s="4" t="s">
        <v>3320</v>
      </c>
      <c r="C350" s="4" t="s">
        <v>1465</v>
      </c>
      <c r="D350" s="4" t="s">
        <v>3321</v>
      </c>
      <c r="E350" s="9">
        <v>1396</v>
      </c>
      <c r="F350" s="4" t="s">
        <v>1796</v>
      </c>
      <c r="G350" s="4" t="s">
        <v>1664</v>
      </c>
      <c r="H350" s="4" t="s">
        <v>3322</v>
      </c>
    </row>
    <row r="351" spans="1:8" ht="30" customHeight="1">
      <c r="A351" s="3" t="s">
        <v>2238</v>
      </c>
      <c r="B351" s="3" t="s">
        <v>3323</v>
      </c>
      <c r="C351" s="3" t="s">
        <v>1465</v>
      </c>
      <c r="D351" s="3" t="s">
        <v>3324</v>
      </c>
      <c r="E351" s="8">
        <v>1294</v>
      </c>
      <c r="F351" s="3" t="s">
        <v>3001</v>
      </c>
      <c r="G351" s="3" t="s">
        <v>1664</v>
      </c>
      <c r="H351" s="3" t="s">
        <v>3325</v>
      </c>
    </row>
    <row r="352" spans="1:8" ht="48" customHeight="1">
      <c r="A352" s="4" t="s">
        <v>2238</v>
      </c>
      <c r="B352" s="4" t="s">
        <v>3326</v>
      </c>
      <c r="C352" s="4" t="s">
        <v>1465</v>
      </c>
      <c r="D352" s="4" t="s">
        <v>3327</v>
      </c>
      <c r="E352" s="9">
        <v>1028</v>
      </c>
      <c r="F352" s="4" t="s">
        <v>1396</v>
      </c>
      <c r="G352" s="4" t="s">
        <v>1642</v>
      </c>
      <c r="H352" s="4" t="s">
        <v>3328</v>
      </c>
    </row>
    <row r="353" spans="1:8" ht="84" customHeight="1">
      <c r="A353" s="3" t="s">
        <v>2191</v>
      </c>
      <c r="B353" s="3" t="s">
        <v>2193</v>
      </c>
      <c r="C353" s="3" t="s">
        <v>1465</v>
      </c>
      <c r="D353" s="3" t="s">
        <v>2194</v>
      </c>
      <c r="E353" s="8">
        <v>4453</v>
      </c>
      <c r="F353" s="3" t="s">
        <v>1641</v>
      </c>
      <c r="G353" s="3" t="s">
        <v>1642</v>
      </c>
      <c r="H353" s="3" t="s">
        <v>3329</v>
      </c>
    </row>
    <row r="354" spans="1:8" ht="30" customHeight="1">
      <c r="A354" s="4" t="s">
        <v>657</v>
      </c>
      <c r="B354" s="4" t="s">
        <v>658</v>
      </c>
      <c r="C354" s="4" t="s">
        <v>1643</v>
      </c>
      <c r="D354" s="4" t="s">
        <v>1896</v>
      </c>
      <c r="E354" s="9">
        <v>2391</v>
      </c>
      <c r="F354" s="4" t="s">
        <v>1684</v>
      </c>
      <c r="G354" s="4" t="s">
        <v>1642</v>
      </c>
      <c r="H354" s="4" t="s">
        <v>3330</v>
      </c>
    </row>
    <row r="355" spans="1:8" ht="48" customHeight="1">
      <c r="A355" s="3" t="s">
        <v>657</v>
      </c>
      <c r="B355" s="3" t="s">
        <v>3331</v>
      </c>
      <c r="C355" s="3" t="s">
        <v>1465</v>
      </c>
      <c r="D355" s="3" t="s">
        <v>3332</v>
      </c>
      <c r="E355" s="8">
        <v>2532</v>
      </c>
      <c r="F355" s="3" t="s">
        <v>1684</v>
      </c>
      <c r="G355" s="3" t="s">
        <v>1642</v>
      </c>
      <c r="H355" s="3" t="s">
        <v>3333</v>
      </c>
    </row>
    <row r="356" spans="1:8" ht="30" customHeight="1">
      <c r="A356" s="4" t="s">
        <v>657</v>
      </c>
      <c r="B356" s="4" t="s">
        <v>3334</v>
      </c>
      <c r="C356" s="4" t="s">
        <v>1465</v>
      </c>
      <c r="D356" s="4" t="s">
        <v>3335</v>
      </c>
      <c r="E356" s="9">
        <v>1486</v>
      </c>
      <c r="F356" s="4" t="s">
        <v>1684</v>
      </c>
      <c r="G356" s="4" t="s">
        <v>1642</v>
      </c>
      <c r="H356" s="4" t="s">
        <v>3336</v>
      </c>
    </row>
    <row r="357" spans="1:8" ht="66" customHeight="1">
      <c r="A357" s="3" t="s">
        <v>2165</v>
      </c>
      <c r="B357" s="3" t="s">
        <v>3337</v>
      </c>
      <c r="C357" s="3" t="s">
        <v>1465</v>
      </c>
      <c r="D357" s="3" t="s">
        <v>3338</v>
      </c>
      <c r="E357" s="8">
        <v>17460</v>
      </c>
      <c r="F357" s="3" t="s">
        <v>3339</v>
      </c>
      <c r="G357" s="3" t="s">
        <v>1664</v>
      </c>
      <c r="H357" s="3" t="s">
        <v>3340</v>
      </c>
    </row>
    <row r="358" spans="1:8" ht="66" customHeight="1">
      <c r="A358" s="4" t="s">
        <v>2165</v>
      </c>
      <c r="B358" s="4" t="s">
        <v>1024</v>
      </c>
      <c r="C358" s="4" t="s">
        <v>1465</v>
      </c>
      <c r="D358" s="4" t="s">
        <v>2167</v>
      </c>
      <c r="E358" s="9">
        <v>15185</v>
      </c>
      <c r="F358" s="4" t="s">
        <v>2168</v>
      </c>
      <c r="G358" s="4" t="s">
        <v>1642</v>
      </c>
      <c r="H358" s="4" t="s">
        <v>3341</v>
      </c>
    </row>
    <row r="359" spans="1:8" ht="48" customHeight="1">
      <c r="A359" s="3" t="s">
        <v>2165</v>
      </c>
      <c r="B359" s="3" t="s">
        <v>3342</v>
      </c>
      <c r="C359" s="3" t="s">
        <v>1465</v>
      </c>
      <c r="D359" s="3" t="s">
        <v>3343</v>
      </c>
      <c r="E359" s="8">
        <v>2968</v>
      </c>
      <c r="F359" s="3" t="s">
        <v>1823</v>
      </c>
      <c r="G359" s="3" t="s">
        <v>1664</v>
      </c>
      <c r="H359" s="3" t="s">
        <v>3344</v>
      </c>
    </row>
    <row r="360" spans="1:8" ht="48" customHeight="1">
      <c r="A360" s="4" t="s">
        <v>2165</v>
      </c>
      <c r="B360" s="4" t="s">
        <v>3296</v>
      </c>
      <c r="C360" s="4" t="s">
        <v>1465</v>
      </c>
      <c r="D360" s="4" t="s">
        <v>3297</v>
      </c>
      <c r="E360" s="9">
        <v>2622</v>
      </c>
      <c r="F360" s="4" t="s">
        <v>3298</v>
      </c>
      <c r="G360" s="4" t="s">
        <v>1642</v>
      </c>
      <c r="H360" s="4" t="s">
        <v>3345</v>
      </c>
    </row>
    <row r="361" spans="1:8" ht="48" customHeight="1">
      <c r="A361" s="3" t="s">
        <v>351</v>
      </c>
      <c r="B361" s="3" t="s">
        <v>1910</v>
      </c>
      <c r="C361" s="3" t="s">
        <v>1643</v>
      </c>
      <c r="D361" s="3" t="s">
        <v>1911</v>
      </c>
      <c r="E361" s="8">
        <v>1507</v>
      </c>
      <c r="F361" s="3" t="s">
        <v>1354</v>
      </c>
      <c r="G361" s="3" t="s">
        <v>1664</v>
      </c>
      <c r="H361" s="3" t="s">
        <v>1911</v>
      </c>
    </row>
    <row r="362" spans="1:8" ht="48" customHeight="1">
      <c r="A362" s="4" t="s">
        <v>351</v>
      </c>
      <c r="B362" s="4" t="s">
        <v>3346</v>
      </c>
      <c r="C362" s="4" t="s">
        <v>1465</v>
      </c>
      <c r="D362" s="4" t="s">
        <v>3347</v>
      </c>
      <c r="E362" s="9">
        <v>2624</v>
      </c>
      <c r="F362" s="4" t="s">
        <v>1690</v>
      </c>
      <c r="G362" s="4" t="s">
        <v>1642</v>
      </c>
      <c r="H362" s="4" t="s">
        <v>3348</v>
      </c>
    </row>
    <row r="363" spans="1:8" ht="48" customHeight="1">
      <c r="A363" s="3" t="s">
        <v>2276</v>
      </c>
      <c r="B363" s="3" t="s">
        <v>2278</v>
      </c>
      <c r="C363" s="3" t="s">
        <v>1465</v>
      </c>
      <c r="D363" s="3" t="s">
        <v>2279</v>
      </c>
      <c r="E363" s="8">
        <v>2535</v>
      </c>
      <c r="F363" s="3" t="s">
        <v>1684</v>
      </c>
      <c r="G363" s="3" t="s">
        <v>1642</v>
      </c>
      <c r="H363" s="3" t="s">
        <v>3349</v>
      </c>
    </row>
    <row r="364" spans="1:8" ht="30" customHeight="1">
      <c r="A364" s="4" t="s">
        <v>2276</v>
      </c>
      <c r="B364" s="4" t="s">
        <v>3350</v>
      </c>
      <c r="C364" s="4" t="s">
        <v>1465</v>
      </c>
      <c r="D364" s="4" t="s">
        <v>3351</v>
      </c>
      <c r="E364" s="9">
        <v>1294</v>
      </c>
      <c r="F364" s="4" t="s">
        <v>2702</v>
      </c>
      <c r="G364" s="4" t="s">
        <v>1664</v>
      </c>
      <c r="H364" s="4" t="s">
        <v>3352</v>
      </c>
    </row>
    <row r="365" spans="1:8" ht="48" customHeight="1">
      <c r="A365" s="3" t="s">
        <v>2272</v>
      </c>
      <c r="B365" s="3" t="s">
        <v>2274</v>
      </c>
      <c r="C365" s="3" t="s">
        <v>1465</v>
      </c>
      <c r="D365" s="3" t="s">
        <v>2275</v>
      </c>
      <c r="E365" s="8">
        <v>2536</v>
      </c>
      <c r="F365" s="3" t="s">
        <v>1684</v>
      </c>
      <c r="G365" s="3" t="s">
        <v>1642</v>
      </c>
      <c r="H365" s="3" t="s">
        <v>3353</v>
      </c>
    </row>
    <row r="366" spans="1:8" ht="48" customHeight="1">
      <c r="A366" s="4" t="s">
        <v>2272</v>
      </c>
      <c r="B366" s="4" t="s">
        <v>3354</v>
      </c>
      <c r="C366" s="4" t="s">
        <v>1465</v>
      </c>
      <c r="D366" s="4" t="s">
        <v>3355</v>
      </c>
      <c r="E366" s="9">
        <v>2536</v>
      </c>
      <c r="F366" s="4" t="s">
        <v>1684</v>
      </c>
      <c r="G366" s="4" t="s">
        <v>1642</v>
      </c>
      <c r="H366" s="4" t="s">
        <v>3356</v>
      </c>
    </row>
    <row r="367" spans="1:8" ht="48" customHeight="1">
      <c r="A367" s="3" t="s">
        <v>2272</v>
      </c>
      <c r="B367" s="3" t="s">
        <v>3357</v>
      </c>
      <c r="C367" s="3" t="s">
        <v>1465</v>
      </c>
      <c r="D367" s="3" t="s">
        <v>3358</v>
      </c>
      <c r="E367" s="8">
        <v>2535</v>
      </c>
      <c r="F367" s="3" t="s">
        <v>1684</v>
      </c>
      <c r="G367" s="3" t="s">
        <v>1642</v>
      </c>
      <c r="H367" s="3" t="s">
        <v>3359</v>
      </c>
    </row>
    <row r="368" spans="1:8" ht="30" customHeight="1">
      <c r="A368" s="4" t="s">
        <v>2234</v>
      </c>
      <c r="B368" s="4" t="s">
        <v>2236</v>
      </c>
      <c r="C368" s="4" t="s">
        <v>1465</v>
      </c>
      <c r="D368" s="4" t="s">
        <v>2237</v>
      </c>
      <c r="E368" s="9">
        <v>2652</v>
      </c>
      <c r="F368" s="4" t="s">
        <v>1681</v>
      </c>
      <c r="G368" s="4" t="s">
        <v>1664</v>
      </c>
      <c r="H368" s="4" t="s">
        <v>3360</v>
      </c>
    </row>
    <row r="369" spans="1:8" ht="30" customHeight="1">
      <c r="A369" s="3" t="s">
        <v>2234</v>
      </c>
      <c r="B369" s="3" t="s">
        <v>3361</v>
      </c>
      <c r="C369" s="3" t="s">
        <v>1465</v>
      </c>
      <c r="D369" s="3" t="s">
        <v>3362</v>
      </c>
      <c r="E369" s="8">
        <v>2652</v>
      </c>
      <c r="F369" s="3" t="s">
        <v>1681</v>
      </c>
      <c r="G369" s="3" t="s">
        <v>1664</v>
      </c>
      <c r="H369" s="3" t="s">
        <v>3363</v>
      </c>
    </row>
    <row r="370" spans="1:8" ht="30" customHeight="1">
      <c r="A370" s="4" t="s">
        <v>2234</v>
      </c>
      <c r="B370" s="4" t="s">
        <v>3364</v>
      </c>
      <c r="C370" s="4" t="s">
        <v>1465</v>
      </c>
      <c r="D370" s="4" t="s">
        <v>3365</v>
      </c>
      <c r="E370" s="9">
        <v>1599</v>
      </c>
      <c r="F370" s="4" t="s">
        <v>2333</v>
      </c>
      <c r="G370" s="4" t="s">
        <v>1664</v>
      </c>
      <c r="H370" s="4" t="s">
        <v>3366</v>
      </c>
    </row>
    <row r="371" spans="1:8" ht="48" customHeight="1">
      <c r="A371" s="3" t="s">
        <v>2234</v>
      </c>
      <c r="B371" s="3" t="s">
        <v>3254</v>
      </c>
      <c r="C371" s="3" t="s">
        <v>1465</v>
      </c>
      <c r="D371" s="3" t="s">
        <v>3255</v>
      </c>
      <c r="E371" s="8">
        <v>1396</v>
      </c>
      <c r="F371" s="3" t="s">
        <v>1796</v>
      </c>
      <c r="G371" s="3" t="s">
        <v>1664</v>
      </c>
      <c r="H371" s="3" t="s">
        <v>3367</v>
      </c>
    </row>
    <row r="372" spans="1:8" ht="48" customHeight="1">
      <c r="A372" s="4" t="s">
        <v>2234</v>
      </c>
      <c r="B372" s="4" t="s">
        <v>3258</v>
      </c>
      <c r="C372" s="4" t="s">
        <v>1465</v>
      </c>
      <c r="D372" s="4" t="s">
        <v>3259</v>
      </c>
      <c r="E372" s="9">
        <v>1396</v>
      </c>
      <c r="F372" s="4" t="s">
        <v>1796</v>
      </c>
      <c r="G372" s="4" t="s">
        <v>1664</v>
      </c>
      <c r="H372" s="4" t="s">
        <v>3368</v>
      </c>
    </row>
    <row r="373" spans="1:8" ht="48" customHeight="1">
      <c r="A373" s="3" t="s">
        <v>2234</v>
      </c>
      <c r="B373" s="3" t="s">
        <v>3260</v>
      </c>
      <c r="C373" s="3" t="s">
        <v>1465</v>
      </c>
      <c r="D373" s="3" t="s">
        <v>3261</v>
      </c>
      <c r="E373" s="8">
        <v>1396</v>
      </c>
      <c r="F373" s="3" t="s">
        <v>1796</v>
      </c>
      <c r="G373" s="3" t="s">
        <v>1664</v>
      </c>
      <c r="H373" s="3" t="s">
        <v>3369</v>
      </c>
    </row>
    <row r="374" spans="1:8" ht="48" customHeight="1">
      <c r="A374" s="4" t="s">
        <v>2325</v>
      </c>
      <c r="B374" s="4" t="s">
        <v>2327</v>
      </c>
      <c r="C374" s="4" t="s">
        <v>1465</v>
      </c>
      <c r="D374" s="4" t="s">
        <v>2328</v>
      </c>
      <c r="E374" s="9">
        <v>1913</v>
      </c>
      <c r="F374" s="4" t="s">
        <v>1681</v>
      </c>
      <c r="G374" s="4" t="s">
        <v>1664</v>
      </c>
      <c r="H374" s="4" t="s">
        <v>3370</v>
      </c>
    </row>
    <row r="375" spans="1:8" ht="30" customHeight="1">
      <c r="A375" s="3" t="s">
        <v>2321</v>
      </c>
      <c r="B375" s="3" t="s">
        <v>2323</v>
      </c>
      <c r="C375" s="3" t="s">
        <v>1465</v>
      </c>
      <c r="D375" s="3" t="s">
        <v>2324</v>
      </c>
      <c r="E375" s="8">
        <v>2078</v>
      </c>
      <c r="F375" s="3" t="s">
        <v>1900</v>
      </c>
      <c r="G375" s="3" t="s">
        <v>1642</v>
      </c>
      <c r="H375" s="3" t="s">
        <v>3371</v>
      </c>
    </row>
    <row r="376" spans="1:8" ht="30" customHeight="1">
      <c r="A376" s="4" t="s">
        <v>668</v>
      </c>
      <c r="B376" s="4" t="s">
        <v>1884</v>
      </c>
      <c r="C376" s="4" t="s">
        <v>1643</v>
      </c>
      <c r="D376" s="4" t="s">
        <v>1885</v>
      </c>
      <c r="E376" s="9">
        <v>2535</v>
      </c>
      <c r="F376" s="4" t="s">
        <v>1684</v>
      </c>
      <c r="G376" s="4" t="s">
        <v>1642</v>
      </c>
      <c r="H376" s="4" t="s">
        <v>3372</v>
      </c>
    </row>
    <row r="377" spans="1:8" ht="30" customHeight="1">
      <c r="A377" s="3" t="s">
        <v>668</v>
      </c>
      <c r="B377" s="3" t="s">
        <v>3373</v>
      </c>
      <c r="C377" s="3" t="s">
        <v>1643</v>
      </c>
      <c r="D377" s="3" t="s">
        <v>3374</v>
      </c>
      <c r="E377" s="8">
        <v>2534</v>
      </c>
      <c r="F377" s="3" t="s">
        <v>1684</v>
      </c>
      <c r="G377" s="3" t="s">
        <v>1642</v>
      </c>
      <c r="H377" s="3" t="s">
        <v>3372</v>
      </c>
    </row>
    <row r="378" spans="1:8" ht="30" customHeight="1">
      <c r="A378" s="4" t="s">
        <v>668</v>
      </c>
      <c r="B378" s="4" t="s">
        <v>3375</v>
      </c>
      <c r="C378" s="4" t="s">
        <v>1643</v>
      </c>
      <c r="D378" s="4" t="s">
        <v>3376</v>
      </c>
      <c r="E378" s="9">
        <v>2533</v>
      </c>
      <c r="F378" s="4" t="s">
        <v>1684</v>
      </c>
      <c r="G378" s="4" t="s">
        <v>1642</v>
      </c>
      <c r="H378" s="4" t="s">
        <v>3372</v>
      </c>
    </row>
    <row r="379" spans="1:8" ht="30" customHeight="1">
      <c r="A379" s="3" t="s">
        <v>668</v>
      </c>
      <c r="B379" s="3" t="s">
        <v>3377</v>
      </c>
      <c r="C379" s="3" t="s">
        <v>1643</v>
      </c>
      <c r="D379" s="3" t="s">
        <v>3378</v>
      </c>
      <c r="E379" s="8">
        <v>2532</v>
      </c>
      <c r="F379" s="3" t="s">
        <v>1684</v>
      </c>
      <c r="G379" s="3" t="s">
        <v>1642</v>
      </c>
      <c r="H379" s="3" t="s">
        <v>3372</v>
      </c>
    </row>
    <row r="380" spans="1:8" ht="30" customHeight="1">
      <c r="A380" s="4" t="s">
        <v>668</v>
      </c>
      <c r="B380" s="4" t="s">
        <v>3379</v>
      </c>
      <c r="C380" s="4" t="s">
        <v>1643</v>
      </c>
      <c r="D380" s="4" t="s">
        <v>3380</v>
      </c>
      <c r="E380" s="9">
        <v>2532</v>
      </c>
      <c r="F380" s="4" t="s">
        <v>1684</v>
      </c>
      <c r="G380" s="4" t="s">
        <v>1642</v>
      </c>
      <c r="H380" s="4" t="s">
        <v>3372</v>
      </c>
    </row>
    <row r="381" spans="1:8" ht="30" customHeight="1">
      <c r="A381" s="3" t="s">
        <v>668</v>
      </c>
      <c r="B381" s="3" t="s">
        <v>3381</v>
      </c>
      <c r="C381" s="3" t="s">
        <v>1643</v>
      </c>
      <c r="D381" s="3" t="s">
        <v>3382</v>
      </c>
      <c r="E381" s="8">
        <v>2528</v>
      </c>
      <c r="F381" s="3" t="s">
        <v>1684</v>
      </c>
      <c r="G381" s="3" t="s">
        <v>1642</v>
      </c>
      <c r="H381" s="3" t="s">
        <v>3372</v>
      </c>
    </row>
    <row r="382" spans="1:8" ht="30" customHeight="1">
      <c r="A382" s="4" t="s">
        <v>484</v>
      </c>
      <c r="B382" s="4" t="s">
        <v>2065</v>
      </c>
      <c r="C382" s="4" t="s">
        <v>1643</v>
      </c>
      <c r="D382" s="4" t="s">
        <v>2066</v>
      </c>
      <c r="E382" s="9">
        <v>2778</v>
      </c>
      <c r="F382" s="4" t="s">
        <v>1865</v>
      </c>
      <c r="G382" s="4" t="s">
        <v>1642</v>
      </c>
      <c r="H382" s="4" t="s">
        <v>2066</v>
      </c>
    </row>
    <row r="383" spans="1:8" ht="30" customHeight="1">
      <c r="A383" s="3" t="s">
        <v>484</v>
      </c>
      <c r="B383" s="3" t="s">
        <v>2067</v>
      </c>
      <c r="C383" s="3" t="s">
        <v>1643</v>
      </c>
      <c r="D383" s="3" t="s">
        <v>3383</v>
      </c>
      <c r="E383" s="8">
        <v>1430</v>
      </c>
      <c r="F383" s="3" t="s">
        <v>1356</v>
      </c>
      <c r="G383" s="3" t="s">
        <v>1664</v>
      </c>
      <c r="H383" s="3" t="s">
        <v>3384</v>
      </c>
    </row>
    <row r="384" spans="1:8" ht="30" customHeight="1">
      <c r="A384" s="4" t="s">
        <v>484</v>
      </c>
      <c r="B384" s="4" t="s">
        <v>3385</v>
      </c>
      <c r="C384" s="4" t="s">
        <v>1465</v>
      </c>
      <c r="D384" s="4" t="s">
        <v>3386</v>
      </c>
      <c r="E384" s="9">
        <v>1576</v>
      </c>
      <c r="F384" s="4" t="s">
        <v>1672</v>
      </c>
      <c r="G384" s="4" t="s">
        <v>1664</v>
      </c>
      <c r="H384" s="4" t="s">
        <v>3387</v>
      </c>
    </row>
    <row r="385" spans="1:8" ht="30" customHeight="1">
      <c r="A385" s="3" t="s">
        <v>484</v>
      </c>
      <c r="B385" s="3" t="s">
        <v>3388</v>
      </c>
      <c r="C385" s="3" t="s">
        <v>1465</v>
      </c>
      <c r="D385" s="3" t="s">
        <v>3389</v>
      </c>
      <c r="E385" s="8">
        <v>1574</v>
      </c>
      <c r="F385" s="3" t="s">
        <v>1672</v>
      </c>
      <c r="G385" s="3" t="s">
        <v>1664</v>
      </c>
      <c r="H385" s="3" t="s">
        <v>3390</v>
      </c>
    </row>
    <row r="386" spans="1:8" ht="48" customHeight="1">
      <c r="A386" s="4" t="s">
        <v>484</v>
      </c>
      <c r="B386" s="4" t="s">
        <v>3391</v>
      </c>
      <c r="C386" s="4" t="s">
        <v>1465</v>
      </c>
      <c r="D386" s="4" t="s">
        <v>3392</v>
      </c>
      <c r="E386" s="9">
        <v>1535</v>
      </c>
      <c r="F386" s="4" t="s">
        <v>1351</v>
      </c>
      <c r="G386" s="4" t="s">
        <v>1664</v>
      </c>
      <c r="H386" s="4" t="s">
        <v>3393</v>
      </c>
    </row>
    <row r="387" spans="1:8" ht="48" customHeight="1">
      <c r="A387" s="3" t="s">
        <v>2507</v>
      </c>
      <c r="B387" s="3" t="s">
        <v>2509</v>
      </c>
      <c r="C387" s="3" t="s">
        <v>1465</v>
      </c>
      <c r="D387" s="3" t="s">
        <v>2510</v>
      </c>
      <c r="E387" s="8">
        <v>1121</v>
      </c>
      <c r="F387" s="3" t="s">
        <v>1376</v>
      </c>
      <c r="G387" s="3" t="s">
        <v>1642</v>
      </c>
      <c r="H387" s="3" t="s">
        <v>3394</v>
      </c>
    </row>
    <row r="388" spans="1:8" ht="30" customHeight="1">
      <c r="A388" s="4" t="s">
        <v>796</v>
      </c>
      <c r="B388" s="4" t="s">
        <v>1878</v>
      </c>
      <c r="C388" s="4" t="s">
        <v>1643</v>
      </c>
      <c r="D388" s="4" t="s">
        <v>1879</v>
      </c>
      <c r="E388" s="9">
        <v>2649</v>
      </c>
      <c r="F388" s="4" t="s">
        <v>1681</v>
      </c>
      <c r="G388" s="4" t="s">
        <v>1664</v>
      </c>
      <c r="H388" s="4" t="s">
        <v>3395</v>
      </c>
    </row>
    <row r="389" spans="1:8" ht="48" customHeight="1">
      <c r="A389" s="3" t="s">
        <v>796</v>
      </c>
      <c r="B389" s="3" t="s">
        <v>3396</v>
      </c>
      <c r="C389" s="3" t="s">
        <v>1465</v>
      </c>
      <c r="D389" s="3" t="s">
        <v>3397</v>
      </c>
      <c r="E389" s="8">
        <v>1065</v>
      </c>
      <c r="F389" s="3" t="s">
        <v>2333</v>
      </c>
      <c r="G389" s="3" t="s">
        <v>1664</v>
      </c>
      <c r="H389" s="3" t="s">
        <v>3398</v>
      </c>
    </row>
    <row r="390" spans="1:8" ht="30" customHeight="1">
      <c r="A390" s="4" t="s">
        <v>2486</v>
      </c>
      <c r="B390" s="4" t="s">
        <v>2488</v>
      </c>
      <c r="C390" s="4" t="s">
        <v>1465</v>
      </c>
      <c r="D390" s="4" t="s">
        <v>2489</v>
      </c>
      <c r="E390" s="9">
        <v>1172</v>
      </c>
      <c r="F390" s="4" t="s">
        <v>1380</v>
      </c>
      <c r="G390" s="4" t="s">
        <v>1642</v>
      </c>
      <c r="H390" s="4" t="s">
        <v>3399</v>
      </c>
    </row>
    <row r="391" spans="1:8" ht="30" customHeight="1">
      <c r="A391" s="3" t="s">
        <v>495</v>
      </c>
      <c r="B391" s="3" t="s">
        <v>3400</v>
      </c>
      <c r="C391" s="3" t="s">
        <v>1643</v>
      </c>
      <c r="D391" s="3" t="s">
        <v>3401</v>
      </c>
      <c r="E391" s="8">
        <v>1566</v>
      </c>
      <c r="F391" s="3" t="s">
        <v>1672</v>
      </c>
      <c r="G391" s="3" t="s">
        <v>1664</v>
      </c>
      <c r="H391" s="3" t="s">
        <v>3401</v>
      </c>
    </row>
    <row r="392" spans="1:8" ht="48" customHeight="1">
      <c r="A392" s="4" t="s">
        <v>495</v>
      </c>
      <c r="B392" s="4" t="s">
        <v>3402</v>
      </c>
      <c r="C392" s="4" t="s">
        <v>1643</v>
      </c>
      <c r="D392" s="4" t="s">
        <v>3403</v>
      </c>
      <c r="E392" s="9">
        <v>1535</v>
      </c>
      <c r="F392" s="4" t="s">
        <v>1351</v>
      </c>
      <c r="G392" s="4" t="s">
        <v>1664</v>
      </c>
      <c r="H392" s="4" t="s">
        <v>3404</v>
      </c>
    </row>
    <row r="393" spans="1:8" ht="48" customHeight="1">
      <c r="A393" s="3" t="s">
        <v>495</v>
      </c>
      <c r="B393" s="3" t="s">
        <v>3405</v>
      </c>
      <c r="C393" s="3" t="s">
        <v>1643</v>
      </c>
      <c r="D393" s="3" t="s">
        <v>3406</v>
      </c>
      <c r="E393" s="8">
        <v>1427</v>
      </c>
      <c r="F393" s="3" t="s">
        <v>1356</v>
      </c>
      <c r="G393" s="3" t="s">
        <v>1664</v>
      </c>
      <c r="H393" s="3" t="s">
        <v>3407</v>
      </c>
    </row>
    <row r="394" spans="1:8" ht="30" customHeight="1">
      <c r="A394" s="4" t="s">
        <v>495</v>
      </c>
      <c r="B394" s="4" t="s">
        <v>2077</v>
      </c>
      <c r="C394" s="4" t="s">
        <v>1643</v>
      </c>
      <c r="D394" s="4" t="s">
        <v>2078</v>
      </c>
      <c r="E394" s="9">
        <v>1200</v>
      </c>
      <c r="F394" s="4" t="s">
        <v>1380</v>
      </c>
      <c r="G394" s="4" t="s">
        <v>1642</v>
      </c>
      <c r="H394" s="4" t="s">
        <v>3408</v>
      </c>
    </row>
    <row r="395" spans="1:8" ht="30" customHeight="1">
      <c r="A395" s="3" t="s">
        <v>495</v>
      </c>
      <c r="B395" s="3" t="s">
        <v>3409</v>
      </c>
      <c r="C395" s="3" t="s">
        <v>1465</v>
      </c>
      <c r="D395" s="3" t="s">
        <v>3410</v>
      </c>
      <c r="E395" s="8">
        <v>1199</v>
      </c>
      <c r="F395" s="3" t="s">
        <v>1380</v>
      </c>
      <c r="G395" s="3" t="s">
        <v>1642</v>
      </c>
      <c r="H395" s="3" t="s">
        <v>3411</v>
      </c>
    </row>
    <row r="396" spans="1:8" ht="30" customHeight="1">
      <c r="A396" s="4" t="s">
        <v>838</v>
      </c>
      <c r="B396" s="4" t="s">
        <v>2013</v>
      </c>
      <c r="C396" s="4" t="s">
        <v>1643</v>
      </c>
      <c r="D396" s="4" t="s">
        <v>3412</v>
      </c>
      <c r="E396" s="9">
        <v>1429</v>
      </c>
      <c r="F396" s="4" t="s">
        <v>1356</v>
      </c>
      <c r="G396" s="4" t="s">
        <v>1664</v>
      </c>
      <c r="H396" s="4" t="s">
        <v>3413</v>
      </c>
    </row>
    <row r="397" spans="1:8" ht="30" customHeight="1">
      <c r="A397" s="3" t="s">
        <v>838</v>
      </c>
      <c r="B397" s="3" t="s">
        <v>2011</v>
      </c>
      <c r="C397" s="3" t="s">
        <v>1643</v>
      </c>
      <c r="D397" s="3" t="s">
        <v>2012</v>
      </c>
      <c r="E397" s="8">
        <v>1082</v>
      </c>
      <c r="F397" s="3" t="s">
        <v>1376</v>
      </c>
      <c r="G397" s="3" t="s">
        <v>1642</v>
      </c>
      <c r="H397" s="3" t="s">
        <v>3414</v>
      </c>
    </row>
    <row r="398" spans="1:8" ht="30" customHeight="1">
      <c r="A398" s="4" t="s">
        <v>838</v>
      </c>
      <c r="B398" s="4" t="s">
        <v>3415</v>
      </c>
      <c r="C398" s="4" t="s">
        <v>1465</v>
      </c>
      <c r="D398" s="4" t="s">
        <v>3416</v>
      </c>
      <c r="E398" s="9">
        <v>1576</v>
      </c>
      <c r="F398" s="4" t="s">
        <v>1672</v>
      </c>
      <c r="G398" s="4" t="s">
        <v>1664</v>
      </c>
      <c r="H398" s="4" t="s">
        <v>3417</v>
      </c>
    </row>
    <row r="399" spans="1:8" ht="48" customHeight="1">
      <c r="A399" s="3" t="s">
        <v>804</v>
      </c>
      <c r="B399" s="3" t="s">
        <v>1907</v>
      </c>
      <c r="C399" s="3" t="s">
        <v>1643</v>
      </c>
      <c r="D399" s="3" t="s">
        <v>1908</v>
      </c>
      <c r="E399" s="8">
        <v>1534</v>
      </c>
      <c r="F399" s="3" t="s">
        <v>1351</v>
      </c>
      <c r="G399" s="3" t="s">
        <v>1664</v>
      </c>
      <c r="H399" s="3" t="s">
        <v>3418</v>
      </c>
    </row>
    <row r="400" spans="1:8" ht="48" customHeight="1">
      <c r="A400" s="4" t="s">
        <v>804</v>
      </c>
      <c r="B400" s="4" t="s">
        <v>3419</v>
      </c>
      <c r="C400" s="4" t="s">
        <v>1465</v>
      </c>
      <c r="D400" s="4" t="s">
        <v>3420</v>
      </c>
      <c r="E400" s="9">
        <v>2772</v>
      </c>
      <c r="F400" s="4" t="s">
        <v>1865</v>
      </c>
      <c r="G400" s="4" t="s">
        <v>1642</v>
      </c>
      <c r="H400" s="4" t="s">
        <v>3421</v>
      </c>
    </row>
    <row r="401" spans="1:8" ht="48" customHeight="1">
      <c r="A401" s="3" t="s">
        <v>804</v>
      </c>
      <c r="B401" s="3" t="s">
        <v>3422</v>
      </c>
      <c r="C401" s="3" t="s">
        <v>1465</v>
      </c>
      <c r="D401" s="3" t="s">
        <v>3423</v>
      </c>
      <c r="E401" s="8">
        <v>1534</v>
      </c>
      <c r="F401" s="3" t="s">
        <v>1351</v>
      </c>
      <c r="G401" s="3" t="s">
        <v>1664</v>
      </c>
      <c r="H401" s="3" t="s">
        <v>3424</v>
      </c>
    </row>
    <row r="402" spans="1:8" ht="30" customHeight="1">
      <c r="A402" s="4" t="s">
        <v>2250</v>
      </c>
      <c r="B402" s="4" t="s">
        <v>2252</v>
      </c>
      <c r="C402" s="4" t="s">
        <v>1465</v>
      </c>
      <c r="D402" s="4" t="s">
        <v>2253</v>
      </c>
      <c r="E402" s="9">
        <v>2618</v>
      </c>
      <c r="F402" s="4" t="s">
        <v>1690</v>
      </c>
      <c r="G402" s="4" t="s">
        <v>1642</v>
      </c>
      <c r="H402" s="4" t="s">
        <v>3425</v>
      </c>
    </row>
    <row r="403" spans="1:8" ht="30" customHeight="1">
      <c r="A403" s="3" t="s">
        <v>2250</v>
      </c>
      <c r="B403" s="3" t="s">
        <v>3426</v>
      </c>
      <c r="C403" s="3" t="s">
        <v>1465</v>
      </c>
      <c r="D403" s="3" t="s">
        <v>3427</v>
      </c>
      <c r="E403" s="8">
        <v>2074</v>
      </c>
      <c r="F403" s="3" t="s">
        <v>1900</v>
      </c>
      <c r="G403" s="3" t="s">
        <v>1642</v>
      </c>
      <c r="H403" s="3" t="s">
        <v>3428</v>
      </c>
    </row>
    <row r="404" spans="1:8" ht="30" customHeight="1">
      <c r="A404" s="4" t="s">
        <v>2412</v>
      </c>
      <c r="B404" s="4" t="s">
        <v>2414</v>
      </c>
      <c r="C404" s="4" t="s">
        <v>1465</v>
      </c>
      <c r="D404" s="4" t="s">
        <v>2415</v>
      </c>
      <c r="E404" s="9">
        <v>1396</v>
      </c>
      <c r="F404" s="4" t="s">
        <v>1796</v>
      </c>
      <c r="G404" s="4" t="s">
        <v>1664</v>
      </c>
      <c r="H404" s="4" t="s">
        <v>2415</v>
      </c>
    </row>
    <row r="405" spans="1:8" ht="30" customHeight="1">
      <c r="A405" s="3" t="s">
        <v>846</v>
      </c>
      <c r="B405" s="3" t="s">
        <v>1922</v>
      </c>
      <c r="C405" s="3" t="s">
        <v>1643</v>
      </c>
      <c r="D405" s="3" t="s">
        <v>1923</v>
      </c>
      <c r="E405" s="8">
        <v>1429</v>
      </c>
      <c r="F405" s="3" t="s">
        <v>1356</v>
      </c>
      <c r="G405" s="3" t="s">
        <v>1664</v>
      </c>
      <c r="H405" s="3" t="s">
        <v>3429</v>
      </c>
    </row>
    <row r="406" spans="1:8" ht="30" customHeight="1">
      <c r="A406" s="4" t="s">
        <v>846</v>
      </c>
      <c r="B406" s="4" t="s">
        <v>1924</v>
      </c>
      <c r="C406" s="4" t="s">
        <v>1643</v>
      </c>
      <c r="D406" s="4" t="s">
        <v>3430</v>
      </c>
      <c r="E406" s="9">
        <v>1428</v>
      </c>
      <c r="F406" s="4" t="s">
        <v>1356</v>
      </c>
      <c r="G406" s="4" t="s">
        <v>1664</v>
      </c>
      <c r="H406" s="4" t="s">
        <v>3431</v>
      </c>
    </row>
    <row r="407" spans="1:8" ht="48" customHeight="1">
      <c r="A407" s="3" t="s">
        <v>846</v>
      </c>
      <c r="B407" s="3" t="s">
        <v>2515</v>
      </c>
      <c r="C407" s="3" t="s">
        <v>1465</v>
      </c>
      <c r="D407" s="3" t="s">
        <v>2516</v>
      </c>
      <c r="E407" s="8">
        <v>1118</v>
      </c>
      <c r="F407" s="3" t="s">
        <v>1376</v>
      </c>
      <c r="G407" s="3" t="s">
        <v>1642</v>
      </c>
      <c r="H407" s="3" t="s">
        <v>3432</v>
      </c>
    </row>
    <row r="408" spans="1:8" ht="30" customHeight="1">
      <c r="A408" s="4" t="s">
        <v>2254</v>
      </c>
      <c r="B408" s="4" t="s">
        <v>3433</v>
      </c>
      <c r="C408" s="4" t="s">
        <v>1465</v>
      </c>
      <c r="D408" s="4" t="s">
        <v>3434</v>
      </c>
      <c r="E408" s="9">
        <v>4418</v>
      </c>
      <c r="F408" s="4" t="s">
        <v>3435</v>
      </c>
      <c r="G408" s="4" t="s">
        <v>1664</v>
      </c>
      <c r="H408" s="4" t="s">
        <v>3436</v>
      </c>
    </row>
    <row r="409" spans="1:8" ht="48" customHeight="1">
      <c r="A409" s="3" t="s">
        <v>2254</v>
      </c>
      <c r="B409" s="3" t="s">
        <v>2256</v>
      </c>
      <c r="C409" s="3" t="s">
        <v>1465</v>
      </c>
      <c r="D409" s="3" t="s">
        <v>2257</v>
      </c>
      <c r="E409" s="8">
        <v>2597</v>
      </c>
      <c r="F409" s="3" t="s">
        <v>2258</v>
      </c>
      <c r="G409" s="3" t="s">
        <v>1642</v>
      </c>
      <c r="H409" s="3" t="s">
        <v>3437</v>
      </c>
    </row>
    <row r="410" spans="1:8" ht="48" customHeight="1">
      <c r="A410" s="4" t="s">
        <v>2254</v>
      </c>
      <c r="B410" s="4" t="s">
        <v>3438</v>
      </c>
      <c r="C410" s="4" t="s">
        <v>1465</v>
      </c>
      <c r="D410" s="4" t="s">
        <v>3439</v>
      </c>
      <c r="E410" s="9">
        <v>1613</v>
      </c>
      <c r="F410" s="4" t="s">
        <v>1693</v>
      </c>
      <c r="G410" s="4" t="s">
        <v>1664</v>
      </c>
      <c r="H410" s="4" t="s">
        <v>3440</v>
      </c>
    </row>
    <row r="411" spans="1:8" ht="48" customHeight="1">
      <c r="A411" s="3" t="s">
        <v>2254</v>
      </c>
      <c r="B411" s="3" t="s">
        <v>3441</v>
      </c>
      <c r="C411" s="3" t="s">
        <v>1465</v>
      </c>
      <c r="D411" s="3" t="s">
        <v>3442</v>
      </c>
      <c r="E411" s="8">
        <v>1613</v>
      </c>
      <c r="F411" s="3" t="s">
        <v>1693</v>
      </c>
      <c r="G411" s="3" t="s">
        <v>1664</v>
      </c>
      <c r="H411" s="3" t="s">
        <v>3443</v>
      </c>
    </row>
    <row r="412" spans="1:8" ht="30" customHeight="1">
      <c r="A412" s="4" t="s">
        <v>2254</v>
      </c>
      <c r="B412" s="4" t="s">
        <v>3444</v>
      </c>
      <c r="C412" s="4" t="s">
        <v>1465</v>
      </c>
      <c r="D412" s="4" t="s">
        <v>3445</v>
      </c>
      <c r="E412" s="9">
        <v>1370</v>
      </c>
      <c r="F412" s="4" t="s">
        <v>2773</v>
      </c>
      <c r="G412" s="4" t="s">
        <v>1664</v>
      </c>
      <c r="H412" s="4" t="s">
        <v>3446</v>
      </c>
    </row>
    <row r="413" spans="1:8" ht="48" customHeight="1">
      <c r="A413" s="3" t="s">
        <v>2254</v>
      </c>
      <c r="B413" s="3" t="s">
        <v>3447</v>
      </c>
      <c r="C413" s="3" t="s">
        <v>1465</v>
      </c>
      <c r="D413" s="3" t="s">
        <v>3448</v>
      </c>
      <c r="E413" s="8">
        <v>1370</v>
      </c>
      <c r="F413" s="3" t="s">
        <v>2773</v>
      </c>
      <c r="G413" s="3" t="s">
        <v>1664</v>
      </c>
      <c r="H413" s="3" t="s">
        <v>3449</v>
      </c>
    </row>
    <row r="414" spans="1:8" ht="48" customHeight="1">
      <c r="A414" s="4" t="s">
        <v>2254</v>
      </c>
      <c r="B414" s="4" t="s">
        <v>3450</v>
      </c>
      <c r="C414" s="4" t="s">
        <v>1465</v>
      </c>
      <c r="D414" s="4" t="s">
        <v>3451</v>
      </c>
      <c r="E414" s="9">
        <v>1368</v>
      </c>
      <c r="F414" s="4" t="s">
        <v>2773</v>
      </c>
      <c r="G414" s="4" t="s">
        <v>1664</v>
      </c>
      <c r="H414" s="4" t="s">
        <v>3452</v>
      </c>
    </row>
    <row r="415" spans="1:8" ht="48" customHeight="1">
      <c r="A415" s="3" t="s">
        <v>2254</v>
      </c>
      <c r="B415" s="3" t="s">
        <v>3453</v>
      </c>
      <c r="C415" s="3" t="s">
        <v>1465</v>
      </c>
      <c r="D415" s="3" t="s">
        <v>3454</v>
      </c>
      <c r="E415" s="8">
        <v>1368</v>
      </c>
      <c r="F415" s="3" t="s">
        <v>2773</v>
      </c>
      <c r="G415" s="3" t="s">
        <v>1664</v>
      </c>
      <c r="H415" s="3" t="s">
        <v>3455</v>
      </c>
    </row>
    <row r="416" spans="1:8" ht="48" customHeight="1">
      <c r="A416" s="4" t="s">
        <v>2254</v>
      </c>
      <c r="B416" s="4" t="s">
        <v>3456</v>
      </c>
      <c r="C416" s="4" t="s">
        <v>1465</v>
      </c>
      <c r="D416" s="4" t="s">
        <v>3457</v>
      </c>
      <c r="E416" s="9">
        <v>1306</v>
      </c>
      <c r="F416" s="4" t="s">
        <v>2702</v>
      </c>
      <c r="G416" s="4" t="s">
        <v>1664</v>
      </c>
      <c r="H416" s="4" t="s">
        <v>3458</v>
      </c>
    </row>
    <row r="417" spans="1:8" ht="48" customHeight="1">
      <c r="A417" s="3" t="s">
        <v>697</v>
      </c>
      <c r="B417" s="3" t="s">
        <v>698</v>
      </c>
      <c r="C417" s="3" t="s">
        <v>1643</v>
      </c>
      <c r="D417" s="3" t="s">
        <v>1954</v>
      </c>
      <c r="E417" s="8">
        <v>1230</v>
      </c>
      <c r="F417" s="3" t="s">
        <v>1370</v>
      </c>
      <c r="G417" s="3" t="s">
        <v>1642</v>
      </c>
      <c r="H417" s="3" t="s">
        <v>3459</v>
      </c>
    </row>
    <row r="418" spans="1:8" ht="30" customHeight="1">
      <c r="A418" s="4" t="s">
        <v>697</v>
      </c>
      <c r="B418" s="4" t="s">
        <v>2331</v>
      </c>
      <c r="C418" s="4" t="s">
        <v>1465</v>
      </c>
      <c r="D418" s="4" t="s">
        <v>2332</v>
      </c>
      <c r="E418" s="9">
        <v>1599</v>
      </c>
      <c r="F418" s="4" t="s">
        <v>2333</v>
      </c>
      <c r="G418" s="4" t="s">
        <v>1664</v>
      </c>
      <c r="H418" s="4" t="s">
        <v>3460</v>
      </c>
    </row>
    <row r="419" spans="1:8" ht="48" customHeight="1">
      <c r="A419" s="3" t="s">
        <v>697</v>
      </c>
      <c r="B419" s="3" t="s">
        <v>3461</v>
      </c>
      <c r="C419" s="3" t="s">
        <v>1465</v>
      </c>
      <c r="D419" s="3" t="s">
        <v>3462</v>
      </c>
      <c r="E419" s="8">
        <v>1291</v>
      </c>
      <c r="F419" s="3" t="s">
        <v>3001</v>
      </c>
      <c r="G419" s="3" t="s">
        <v>1664</v>
      </c>
      <c r="H419" s="3" t="s">
        <v>3463</v>
      </c>
    </row>
    <row r="420" spans="1:8" ht="30" customHeight="1">
      <c r="A420" s="4" t="s">
        <v>830</v>
      </c>
      <c r="B420" s="4" t="s">
        <v>1932</v>
      </c>
      <c r="C420" s="4" t="s">
        <v>1643</v>
      </c>
      <c r="D420" s="4" t="s">
        <v>1933</v>
      </c>
      <c r="E420" s="9">
        <v>1427</v>
      </c>
      <c r="F420" s="4" t="s">
        <v>1356</v>
      </c>
      <c r="G420" s="4" t="s">
        <v>1664</v>
      </c>
      <c r="H420" s="4" t="s">
        <v>3464</v>
      </c>
    </row>
    <row r="421" spans="1:8" ht="30" customHeight="1">
      <c r="A421" s="3" t="s">
        <v>2195</v>
      </c>
      <c r="B421" s="3" t="s">
        <v>3465</v>
      </c>
      <c r="C421" s="3" t="s">
        <v>1465</v>
      </c>
      <c r="D421" s="3" t="s">
        <v>3466</v>
      </c>
      <c r="E421" s="8">
        <v>6030</v>
      </c>
      <c r="F421" s="3" t="s">
        <v>3467</v>
      </c>
      <c r="G421" s="3" t="s">
        <v>1664</v>
      </c>
      <c r="H421" s="3" t="s">
        <v>3468</v>
      </c>
    </row>
    <row r="422" spans="1:8" ht="30" customHeight="1">
      <c r="A422" s="4" t="s">
        <v>2195</v>
      </c>
      <c r="B422" s="4" t="s">
        <v>3469</v>
      </c>
      <c r="C422" s="4" t="s">
        <v>1465</v>
      </c>
      <c r="D422" s="4" t="s">
        <v>3470</v>
      </c>
      <c r="E422" s="9">
        <v>6030</v>
      </c>
      <c r="F422" s="4" t="s">
        <v>3467</v>
      </c>
      <c r="G422" s="4" t="s">
        <v>1664</v>
      </c>
      <c r="H422" s="4" t="s">
        <v>3471</v>
      </c>
    </row>
    <row r="423" spans="1:8" ht="30" customHeight="1">
      <c r="A423" s="3" t="s">
        <v>2195</v>
      </c>
      <c r="B423" s="3" t="s">
        <v>2197</v>
      </c>
      <c r="C423" s="3" t="s">
        <v>1465</v>
      </c>
      <c r="D423" s="3" t="s">
        <v>2198</v>
      </c>
      <c r="E423" s="8">
        <v>4021</v>
      </c>
      <c r="F423" s="3" t="s">
        <v>1787</v>
      </c>
      <c r="G423" s="3" t="s">
        <v>1642</v>
      </c>
      <c r="H423" s="3" t="s">
        <v>3472</v>
      </c>
    </row>
    <row r="424" spans="1:8" ht="48" customHeight="1">
      <c r="A424" s="4" t="s">
        <v>2195</v>
      </c>
      <c r="B424" s="4" t="s">
        <v>3473</v>
      </c>
      <c r="C424" s="4" t="s">
        <v>1465</v>
      </c>
      <c r="D424" s="4" t="s">
        <v>3474</v>
      </c>
      <c r="E424" s="9">
        <v>4021</v>
      </c>
      <c r="F424" s="4" t="s">
        <v>1787</v>
      </c>
      <c r="G424" s="4" t="s">
        <v>1642</v>
      </c>
      <c r="H424" s="4" t="s">
        <v>3475</v>
      </c>
    </row>
    <row r="425" spans="1:8" ht="30" customHeight="1">
      <c r="A425" s="3" t="s">
        <v>2195</v>
      </c>
      <c r="B425" s="3" t="s">
        <v>1785</v>
      </c>
      <c r="C425" s="3" t="s">
        <v>1465</v>
      </c>
      <c r="D425" s="3" t="s">
        <v>1786</v>
      </c>
      <c r="E425" s="8">
        <v>2848</v>
      </c>
      <c r="F425" s="3" t="s">
        <v>1787</v>
      </c>
      <c r="G425" s="3" t="s">
        <v>1642</v>
      </c>
      <c r="H425" s="3" t="s">
        <v>3476</v>
      </c>
    </row>
    <row r="426" spans="1:8" ht="30" customHeight="1">
      <c r="A426" s="4" t="s">
        <v>2195</v>
      </c>
      <c r="B426" s="4" t="s">
        <v>1789</v>
      </c>
      <c r="C426" s="4" t="s">
        <v>1465</v>
      </c>
      <c r="D426" s="4" t="s">
        <v>1790</v>
      </c>
      <c r="E426" s="9">
        <v>2848</v>
      </c>
      <c r="F426" s="4" t="s">
        <v>1787</v>
      </c>
      <c r="G426" s="4" t="s">
        <v>1642</v>
      </c>
      <c r="H426" s="4" t="s">
        <v>3476</v>
      </c>
    </row>
    <row r="427" spans="1:8" ht="30" customHeight="1">
      <c r="A427" s="3" t="s">
        <v>2195</v>
      </c>
      <c r="B427" s="3" t="s">
        <v>3477</v>
      </c>
      <c r="C427" s="3" t="s">
        <v>1465</v>
      </c>
      <c r="D427" s="3" t="s">
        <v>3478</v>
      </c>
      <c r="E427" s="8">
        <v>1613</v>
      </c>
      <c r="F427" s="3" t="s">
        <v>1693</v>
      </c>
      <c r="G427" s="3" t="s">
        <v>1664</v>
      </c>
      <c r="H427" s="3" t="s">
        <v>3472</v>
      </c>
    </row>
    <row r="428" spans="1:8" ht="48" customHeight="1">
      <c r="A428" s="4" t="s">
        <v>2195</v>
      </c>
      <c r="B428" s="4" t="s">
        <v>3479</v>
      </c>
      <c r="C428" s="4" t="s">
        <v>1465</v>
      </c>
      <c r="D428" s="4" t="s">
        <v>3480</v>
      </c>
      <c r="E428" s="9">
        <v>1613</v>
      </c>
      <c r="F428" s="4" t="s">
        <v>1693</v>
      </c>
      <c r="G428" s="4" t="s">
        <v>1664</v>
      </c>
      <c r="H428" s="4" t="s">
        <v>3475</v>
      </c>
    </row>
    <row r="429" spans="1:8" ht="48" customHeight="1">
      <c r="A429" s="3" t="s">
        <v>2195</v>
      </c>
      <c r="B429" s="3" t="s">
        <v>3481</v>
      </c>
      <c r="C429" s="3" t="s">
        <v>1465</v>
      </c>
      <c r="D429" s="3" t="s">
        <v>3482</v>
      </c>
      <c r="E429" s="8">
        <v>1613</v>
      </c>
      <c r="F429" s="3" t="s">
        <v>1693</v>
      </c>
      <c r="G429" s="3" t="s">
        <v>1664</v>
      </c>
      <c r="H429" s="3" t="s">
        <v>3483</v>
      </c>
    </row>
    <row r="430" spans="1:8" ht="48" customHeight="1">
      <c r="A430" s="4" t="s">
        <v>2195</v>
      </c>
      <c r="B430" s="4" t="s">
        <v>3484</v>
      </c>
      <c r="C430" s="4" t="s">
        <v>1465</v>
      </c>
      <c r="D430" s="4" t="s">
        <v>3485</v>
      </c>
      <c r="E430" s="9">
        <v>1613</v>
      </c>
      <c r="F430" s="4" t="s">
        <v>1693</v>
      </c>
      <c r="G430" s="4" t="s">
        <v>1664</v>
      </c>
      <c r="H430" s="4" t="s">
        <v>3486</v>
      </c>
    </row>
    <row r="431" spans="1:8" ht="48" customHeight="1">
      <c r="A431" s="3" t="s">
        <v>2195</v>
      </c>
      <c r="B431" s="3" t="s">
        <v>3487</v>
      </c>
      <c r="C431" s="3" t="s">
        <v>1465</v>
      </c>
      <c r="D431" s="3" t="s">
        <v>3488</v>
      </c>
      <c r="E431" s="8">
        <v>1575</v>
      </c>
      <c r="F431" s="3" t="s">
        <v>1672</v>
      </c>
      <c r="G431" s="3" t="s">
        <v>1664</v>
      </c>
      <c r="H431" s="3" t="s">
        <v>3489</v>
      </c>
    </row>
    <row r="432" spans="1:8" ht="30" customHeight="1">
      <c r="A432" s="4" t="s">
        <v>2195</v>
      </c>
      <c r="B432" s="4" t="s">
        <v>3490</v>
      </c>
      <c r="C432" s="4" t="s">
        <v>1465</v>
      </c>
      <c r="D432" s="4" t="s">
        <v>3491</v>
      </c>
      <c r="E432" s="9">
        <v>1431</v>
      </c>
      <c r="F432" s="4" t="s">
        <v>1356</v>
      </c>
      <c r="G432" s="4" t="s">
        <v>1664</v>
      </c>
      <c r="H432" s="4" t="s">
        <v>3492</v>
      </c>
    </row>
    <row r="433" spans="1:8" ht="30" customHeight="1">
      <c r="A433" s="3" t="s">
        <v>2195</v>
      </c>
      <c r="B433" s="3" t="s">
        <v>3493</v>
      </c>
      <c r="C433" s="3" t="s">
        <v>1465</v>
      </c>
      <c r="D433" s="3" t="s">
        <v>3494</v>
      </c>
      <c r="E433" s="8">
        <v>1210</v>
      </c>
      <c r="F433" s="3" t="s">
        <v>1376</v>
      </c>
      <c r="G433" s="3" t="s">
        <v>1642</v>
      </c>
      <c r="H433" s="3" t="s">
        <v>3495</v>
      </c>
    </row>
    <row r="434" spans="1:8" ht="48" customHeight="1">
      <c r="A434" s="4" t="s">
        <v>2511</v>
      </c>
      <c r="B434" s="4" t="s">
        <v>2509</v>
      </c>
      <c r="C434" s="4" t="s">
        <v>1465</v>
      </c>
      <c r="D434" s="4" t="s">
        <v>2510</v>
      </c>
      <c r="E434" s="9">
        <v>1121</v>
      </c>
      <c r="F434" s="4" t="s">
        <v>1376</v>
      </c>
      <c r="G434" s="4" t="s">
        <v>1642</v>
      </c>
      <c r="H434" s="4" t="s">
        <v>3496</v>
      </c>
    </row>
    <row r="435" spans="1:8" ht="30" customHeight="1">
      <c r="A435" s="3" t="s">
        <v>1925</v>
      </c>
      <c r="B435" s="3" t="s">
        <v>1927</v>
      </c>
      <c r="C435" s="3" t="s">
        <v>1643</v>
      </c>
      <c r="D435" s="3" t="s">
        <v>1928</v>
      </c>
      <c r="E435" s="8">
        <v>1429</v>
      </c>
      <c r="F435" s="3" t="s">
        <v>1356</v>
      </c>
      <c r="G435" s="3" t="s">
        <v>1664</v>
      </c>
      <c r="H435" s="3" t="s">
        <v>3497</v>
      </c>
    </row>
    <row r="436" spans="1:8" ht="30" customHeight="1">
      <c r="A436" s="4" t="s">
        <v>1925</v>
      </c>
      <c r="B436" s="4" t="s">
        <v>3498</v>
      </c>
      <c r="C436" s="4" t="s">
        <v>1643</v>
      </c>
      <c r="D436" s="4" t="s">
        <v>3499</v>
      </c>
      <c r="E436" s="9">
        <v>1429</v>
      </c>
      <c r="F436" s="4" t="s">
        <v>1356</v>
      </c>
      <c r="G436" s="4" t="s">
        <v>1664</v>
      </c>
      <c r="H436" s="4" t="s">
        <v>3500</v>
      </c>
    </row>
    <row r="437" spans="1:8" ht="30" customHeight="1">
      <c r="A437" s="3" t="s">
        <v>1925</v>
      </c>
      <c r="B437" s="3" t="s">
        <v>3501</v>
      </c>
      <c r="C437" s="3" t="s">
        <v>1643</v>
      </c>
      <c r="D437" s="3" t="s">
        <v>3502</v>
      </c>
      <c r="E437" s="8">
        <v>1429</v>
      </c>
      <c r="F437" s="3" t="s">
        <v>1356</v>
      </c>
      <c r="G437" s="3" t="s">
        <v>1664</v>
      </c>
      <c r="H437" s="3" t="s">
        <v>3503</v>
      </c>
    </row>
    <row r="438" spans="1:8" ht="30" customHeight="1">
      <c r="A438" s="4" t="s">
        <v>1925</v>
      </c>
      <c r="B438" s="4" t="s">
        <v>3504</v>
      </c>
      <c r="C438" s="4" t="s">
        <v>1643</v>
      </c>
      <c r="D438" s="4" t="s">
        <v>3505</v>
      </c>
      <c r="E438" s="9">
        <v>1428</v>
      </c>
      <c r="F438" s="4" t="s">
        <v>1356</v>
      </c>
      <c r="G438" s="4" t="s">
        <v>1664</v>
      </c>
      <c r="H438" s="4" t="s">
        <v>3506</v>
      </c>
    </row>
    <row r="439" spans="1:8" ht="30" customHeight="1">
      <c r="A439" s="3" t="s">
        <v>1925</v>
      </c>
      <c r="B439" s="3" t="s">
        <v>3507</v>
      </c>
      <c r="C439" s="3" t="s">
        <v>1643</v>
      </c>
      <c r="D439" s="3" t="s">
        <v>3508</v>
      </c>
      <c r="E439" s="8">
        <v>1428</v>
      </c>
      <c r="F439" s="3" t="s">
        <v>1356</v>
      </c>
      <c r="G439" s="3" t="s">
        <v>1664</v>
      </c>
      <c r="H439" s="3" t="s">
        <v>3509</v>
      </c>
    </row>
    <row r="440" spans="1:8" ht="30" customHeight="1">
      <c r="A440" s="4" t="s">
        <v>1925</v>
      </c>
      <c r="B440" s="4" t="s">
        <v>3510</v>
      </c>
      <c r="C440" s="4" t="s">
        <v>1643</v>
      </c>
      <c r="D440" s="4" t="s">
        <v>3511</v>
      </c>
      <c r="E440" s="9">
        <v>1428</v>
      </c>
      <c r="F440" s="4" t="s">
        <v>1356</v>
      </c>
      <c r="G440" s="4" t="s">
        <v>1664</v>
      </c>
      <c r="H440" s="4" t="s">
        <v>3512</v>
      </c>
    </row>
    <row r="441" spans="1:8" ht="30" customHeight="1">
      <c r="A441" s="3" t="s">
        <v>1925</v>
      </c>
      <c r="B441" s="3" t="s">
        <v>3513</v>
      </c>
      <c r="C441" s="3" t="s">
        <v>1465</v>
      </c>
      <c r="D441" s="3" t="s">
        <v>3514</v>
      </c>
      <c r="E441" s="8">
        <v>1188</v>
      </c>
      <c r="F441" s="3" t="s">
        <v>1380</v>
      </c>
      <c r="G441" s="3" t="s">
        <v>1642</v>
      </c>
      <c r="H441" s="3" t="s">
        <v>3515</v>
      </c>
    </row>
    <row r="442" spans="1:8" ht="30" customHeight="1">
      <c r="A442" s="4" t="s">
        <v>473</v>
      </c>
      <c r="B442" s="4" t="s">
        <v>3516</v>
      </c>
      <c r="C442" s="4" t="s">
        <v>1643</v>
      </c>
      <c r="D442" s="4" t="s">
        <v>3517</v>
      </c>
      <c r="E442" s="9">
        <v>1572</v>
      </c>
      <c r="F442" s="4" t="s">
        <v>1672</v>
      </c>
      <c r="G442" s="4" t="s">
        <v>1664</v>
      </c>
      <c r="H442" s="4" t="s">
        <v>3517</v>
      </c>
    </row>
    <row r="443" spans="1:8" ht="30" customHeight="1">
      <c r="A443" s="3" t="s">
        <v>473</v>
      </c>
      <c r="B443" s="3" t="s">
        <v>3518</v>
      </c>
      <c r="C443" s="3" t="s">
        <v>1643</v>
      </c>
      <c r="D443" s="3" t="s">
        <v>3519</v>
      </c>
      <c r="E443" s="8">
        <v>1535</v>
      </c>
      <c r="F443" s="3" t="s">
        <v>1351</v>
      </c>
      <c r="G443" s="3" t="s">
        <v>1664</v>
      </c>
      <c r="H443" s="3" t="s">
        <v>3520</v>
      </c>
    </row>
    <row r="444" spans="1:8" ht="30" customHeight="1">
      <c r="A444" s="4" t="s">
        <v>473</v>
      </c>
      <c r="B444" s="4" t="s">
        <v>2069</v>
      </c>
      <c r="C444" s="4" t="s">
        <v>1643</v>
      </c>
      <c r="D444" s="4" t="s">
        <v>2070</v>
      </c>
      <c r="E444" s="9">
        <v>1205</v>
      </c>
      <c r="F444" s="4" t="s">
        <v>1380</v>
      </c>
      <c r="G444" s="4" t="s">
        <v>1642</v>
      </c>
      <c r="H444" s="4" t="s">
        <v>3521</v>
      </c>
    </row>
    <row r="445" spans="1:8" ht="30" customHeight="1">
      <c r="A445" s="3" t="s">
        <v>473</v>
      </c>
      <c r="B445" s="3" t="s">
        <v>3522</v>
      </c>
      <c r="C445" s="3" t="s">
        <v>1465</v>
      </c>
      <c r="D445" s="3" t="s">
        <v>3523</v>
      </c>
      <c r="E445" s="8">
        <v>1575</v>
      </c>
      <c r="F445" s="3" t="s">
        <v>1672</v>
      </c>
      <c r="G445" s="3" t="s">
        <v>1664</v>
      </c>
      <c r="H445" s="3" t="s">
        <v>3524</v>
      </c>
    </row>
    <row r="446" spans="1:8" ht="48" customHeight="1">
      <c r="A446" s="4" t="s">
        <v>2185</v>
      </c>
      <c r="B446" s="4" t="s">
        <v>2100</v>
      </c>
      <c r="C446" s="4" t="s">
        <v>1465</v>
      </c>
      <c r="D446" s="4" t="s">
        <v>2101</v>
      </c>
      <c r="E446" s="9">
        <v>4527</v>
      </c>
      <c r="F446" s="4" t="s">
        <v>2091</v>
      </c>
      <c r="G446" s="4" t="s">
        <v>1664</v>
      </c>
      <c r="H446" s="4" t="s">
        <v>3525</v>
      </c>
    </row>
    <row r="447" spans="1:8" ht="48" customHeight="1">
      <c r="A447" s="3" t="s">
        <v>2185</v>
      </c>
      <c r="B447" s="3" t="s">
        <v>2627</v>
      </c>
      <c r="C447" s="3" t="s">
        <v>1465</v>
      </c>
      <c r="D447" s="3" t="s">
        <v>2628</v>
      </c>
      <c r="E447" s="8">
        <v>4525</v>
      </c>
      <c r="F447" s="3" t="s">
        <v>2091</v>
      </c>
      <c r="G447" s="3" t="s">
        <v>1664</v>
      </c>
      <c r="H447" s="3" t="s">
        <v>3526</v>
      </c>
    </row>
    <row r="448" spans="1:8" ht="30" customHeight="1">
      <c r="A448" s="4" t="s">
        <v>2185</v>
      </c>
      <c r="B448" s="4" t="s">
        <v>3527</v>
      </c>
      <c r="C448" s="4" t="s">
        <v>1465</v>
      </c>
      <c r="D448" s="4" t="s">
        <v>3528</v>
      </c>
      <c r="E448" s="9">
        <v>1597</v>
      </c>
      <c r="F448" s="4" t="s">
        <v>2333</v>
      </c>
      <c r="G448" s="4" t="s">
        <v>1664</v>
      </c>
      <c r="H448" s="4" t="s">
        <v>3529</v>
      </c>
    </row>
    <row r="449" spans="1:8" ht="30" customHeight="1">
      <c r="A449" s="3" t="s">
        <v>2185</v>
      </c>
      <c r="B449" s="3" t="s">
        <v>2768</v>
      </c>
      <c r="C449" s="3" t="s">
        <v>1465</v>
      </c>
      <c r="D449" s="3" t="s">
        <v>2769</v>
      </c>
      <c r="E449" s="8">
        <v>1428</v>
      </c>
      <c r="F449" s="3" t="s">
        <v>1356</v>
      </c>
      <c r="G449" s="3" t="s">
        <v>1664</v>
      </c>
      <c r="H449" s="3" t="s">
        <v>3530</v>
      </c>
    </row>
    <row r="450" spans="1:8" ht="30" customHeight="1">
      <c r="A450" s="4" t="s">
        <v>2185</v>
      </c>
      <c r="B450" s="4" t="s">
        <v>3531</v>
      </c>
      <c r="C450" s="4" t="s">
        <v>1465</v>
      </c>
      <c r="D450" s="4" t="s">
        <v>3532</v>
      </c>
      <c r="E450" s="9">
        <v>1411</v>
      </c>
      <c r="F450" s="4" t="s">
        <v>1356</v>
      </c>
      <c r="G450" s="4" t="s">
        <v>1664</v>
      </c>
      <c r="H450" s="4" t="s">
        <v>3533</v>
      </c>
    </row>
    <row r="451" spans="1:8" ht="30" customHeight="1">
      <c r="A451" s="3" t="s">
        <v>2185</v>
      </c>
      <c r="B451" s="3" t="s">
        <v>3534</v>
      </c>
      <c r="C451" s="3" t="s">
        <v>1465</v>
      </c>
      <c r="D451" s="3" t="s">
        <v>3528</v>
      </c>
      <c r="E451" s="8">
        <v>1296</v>
      </c>
      <c r="F451" s="3" t="s">
        <v>2702</v>
      </c>
      <c r="G451" s="3" t="s">
        <v>1664</v>
      </c>
      <c r="H451" s="3" t="s">
        <v>3529</v>
      </c>
    </row>
    <row r="452" spans="1:8" ht="48" customHeight="1">
      <c r="A452" s="4" t="s">
        <v>2513</v>
      </c>
      <c r="B452" s="4" t="s">
        <v>3465</v>
      </c>
      <c r="C452" s="4" t="s">
        <v>1465</v>
      </c>
      <c r="D452" s="4" t="s">
        <v>3466</v>
      </c>
      <c r="E452" s="9">
        <v>6030</v>
      </c>
      <c r="F452" s="4" t="s">
        <v>3467</v>
      </c>
      <c r="G452" s="4" t="s">
        <v>1664</v>
      </c>
      <c r="H452" s="4" t="s">
        <v>3535</v>
      </c>
    </row>
    <row r="453" spans="1:8" ht="48" customHeight="1">
      <c r="A453" s="3" t="s">
        <v>2513</v>
      </c>
      <c r="B453" s="3" t="s">
        <v>3469</v>
      </c>
      <c r="C453" s="3" t="s">
        <v>1465</v>
      </c>
      <c r="D453" s="3" t="s">
        <v>3470</v>
      </c>
      <c r="E453" s="8">
        <v>6030</v>
      </c>
      <c r="F453" s="3" t="s">
        <v>3467</v>
      </c>
      <c r="G453" s="3" t="s">
        <v>1664</v>
      </c>
      <c r="H453" s="3" t="s">
        <v>3535</v>
      </c>
    </row>
    <row r="454" spans="1:8" ht="30" customHeight="1">
      <c r="A454" s="4" t="s">
        <v>2513</v>
      </c>
      <c r="B454" s="4" t="s">
        <v>3536</v>
      </c>
      <c r="C454" s="4" t="s">
        <v>1465</v>
      </c>
      <c r="D454" s="4" t="s">
        <v>3537</v>
      </c>
      <c r="E454" s="9">
        <v>1430</v>
      </c>
      <c r="F454" s="4" t="s">
        <v>1356</v>
      </c>
      <c r="G454" s="4" t="s">
        <v>1664</v>
      </c>
      <c r="H454" s="4" t="s">
        <v>3538</v>
      </c>
    </row>
    <row r="455" spans="1:8" ht="48" customHeight="1">
      <c r="A455" s="3" t="s">
        <v>2513</v>
      </c>
      <c r="B455" s="3" t="s">
        <v>2515</v>
      </c>
      <c r="C455" s="3" t="s">
        <v>1465</v>
      </c>
      <c r="D455" s="3" t="s">
        <v>2516</v>
      </c>
      <c r="E455" s="8">
        <v>1118</v>
      </c>
      <c r="F455" s="3" t="s">
        <v>1376</v>
      </c>
      <c r="G455" s="3" t="s">
        <v>1642</v>
      </c>
      <c r="H455" s="3" t="s">
        <v>3539</v>
      </c>
    </row>
    <row r="456" spans="1:8" ht="30" customHeight="1">
      <c r="A456" s="4" t="s">
        <v>2187</v>
      </c>
      <c r="B456" s="4" t="s">
        <v>2189</v>
      </c>
      <c r="C456" s="4" t="s">
        <v>1465</v>
      </c>
      <c r="D456" s="4" t="s">
        <v>2190</v>
      </c>
      <c r="E456" s="9">
        <v>4524</v>
      </c>
      <c r="F456" s="4" t="s">
        <v>2091</v>
      </c>
      <c r="G456" s="4" t="s">
        <v>1664</v>
      </c>
      <c r="H456" s="4" t="s">
        <v>3540</v>
      </c>
    </row>
    <row r="457" spans="1:8" ht="30" customHeight="1">
      <c r="A457" s="3" t="s">
        <v>2187</v>
      </c>
      <c r="B457" s="3" t="s">
        <v>3541</v>
      </c>
      <c r="C457" s="3" t="s">
        <v>1465</v>
      </c>
      <c r="D457" s="3" t="s">
        <v>3542</v>
      </c>
      <c r="E457" s="8">
        <v>2649</v>
      </c>
      <c r="F457" s="3" t="s">
        <v>1681</v>
      </c>
      <c r="G457" s="3" t="s">
        <v>1664</v>
      </c>
      <c r="H457" s="3" t="s">
        <v>3543</v>
      </c>
    </row>
    <row r="458" spans="1:8" ht="30" customHeight="1">
      <c r="A458" s="4" t="s">
        <v>2503</v>
      </c>
      <c r="B458" s="4" t="s">
        <v>3544</v>
      </c>
      <c r="C458" s="4" t="s">
        <v>1465</v>
      </c>
      <c r="D458" s="4" t="s">
        <v>3545</v>
      </c>
      <c r="E458" s="9">
        <v>1426</v>
      </c>
      <c r="F458" s="4" t="s">
        <v>1356</v>
      </c>
      <c r="G458" s="4" t="s">
        <v>1664</v>
      </c>
      <c r="H458" s="4" t="s">
        <v>3546</v>
      </c>
    </row>
    <row r="459" spans="1:8" ht="30" customHeight="1">
      <c r="A459" s="3" t="s">
        <v>2503</v>
      </c>
      <c r="B459" s="3" t="s">
        <v>2505</v>
      </c>
      <c r="C459" s="3" t="s">
        <v>1465</v>
      </c>
      <c r="D459" s="3" t="s">
        <v>2506</v>
      </c>
      <c r="E459" s="8">
        <v>1124</v>
      </c>
      <c r="F459" s="3" t="s">
        <v>1380</v>
      </c>
      <c r="G459" s="3" t="s">
        <v>1642</v>
      </c>
      <c r="H459" s="3" t="s">
        <v>3547</v>
      </c>
    </row>
    <row r="460" spans="1:8" ht="30" customHeight="1">
      <c r="A460" s="4" t="s">
        <v>677</v>
      </c>
      <c r="B460" s="4" t="s">
        <v>678</v>
      </c>
      <c r="C460" s="4" t="s">
        <v>1643</v>
      </c>
      <c r="D460" s="4" t="s">
        <v>1956</v>
      </c>
      <c r="E460" s="9">
        <v>1224</v>
      </c>
      <c r="F460" s="4" t="s">
        <v>1370</v>
      </c>
      <c r="G460" s="4" t="s">
        <v>1642</v>
      </c>
      <c r="H460" s="4" t="s">
        <v>3548</v>
      </c>
    </row>
    <row r="461" spans="1:8" ht="30" customHeight="1">
      <c r="A461" s="3" t="s">
        <v>677</v>
      </c>
      <c r="B461" s="3" t="s">
        <v>3549</v>
      </c>
      <c r="C461" s="3" t="s">
        <v>1465</v>
      </c>
      <c r="D461" s="3" t="s">
        <v>3550</v>
      </c>
      <c r="E461" s="8">
        <v>2617</v>
      </c>
      <c r="F461" s="3" t="s">
        <v>1690</v>
      </c>
      <c r="G461" s="3" t="s">
        <v>1642</v>
      </c>
      <c r="H461" s="3" t="s">
        <v>3551</v>
      </c>
    </row>
    <row r="462" spans="1:8" ht="30" customHeight="1">
      <c r="A462" s="4" t="s">
        <v>677</v>
      </c>
      <c r="B462" s="4" t="s">
        <v>2323</v>
      </c>
      <c r="C462" s="4" t="s">
        <v>1465</v>
      </c>
      <c r="D462" s="4" t="s">
        <v>2324</v>
      </c>
      <c r="E462" s="9">
        <v>2078</v>
      </c>
      <c r="F462" s="4" t="s">
        <v>1900</v>
      </c>
      <c r="G462" s="4" t="s">
        <v>1642</v>
      </c>
      <c r="H462" s="4" t="s">
        <v>3552</v>
      </c>
    </row>
    <row r="463" spans="1:8" ht="48" customHeight="1">
      <c r="A463" s="3" t="s">
        <v>677</v>
      </c>
      <c r="B463" s="3" t="s">
        <v>3553</v>
      </c>
      <c r="C463" s="3" t="s">
        <v>1465</v>
      </c>
      <c r="D463" s="3" t="s">
        <v>3554</v>
      </c>
      <c r="E463" s="8">
        <v>1429</v>
      </c>
      <c r="F463" s="3" t="s">
        <v>1356</v>
      </c>
      <c r="G463" s="3" t="s">
        <v>1664</v>
      </c>
      <c r="H463" s="3" t="s">
        <v>3555</v>
      </c>
    </row>
    <row r="464" spans="1:8" ht="48" customHeight="1">
      <c r="A464" s="4" t="s">
        <v>677</v>
      </c>
      <c r="B464" s="4" t="s">
        <v>1794</v>
      </c>
      <c r="C464" s="4" t="s">
        <v>1465</v>
      </c>
      <c r="D464" s="4" t="s">
        <v>1795</v>
      </c>
      <c r="E464" s="9">
        <v>1396</v>
      </c>
      <c r="F464" s="4" t="s">
        <v>1796</v>
      </c>
      <c r="G464" s="4" t="s">
        <v>1664</v>
      </c>
      <c r="H464" s="4" t="s">
        <v>3556</v>
      </c>
    </row>
    <row r="465" spans="1:8" ht="48" customHeight="1">
      <c r="A465" s="3" t="s">
        <v>677</v>
      </c>
      <c r="B465" s="3" t="s">
        <v>1798</v>
      </c>
      <c r="C465" s="3" t="s">
        <v>1465</v>
      </c>
      <c r="D465" s="3" t="s">
        <v>1799</v>
      </c>
      <c r="E465" s="8">
        <v>1396</v>
      </c>
      <c r="F465" s="3" t="s">
        <v>1796</v>
      </c>
      <c r="G465" s="3" t="s">
        <v>1664</v>
      </c>
      <c r="H465" s="3" t="s">
        <v>3557</v>
      </c>
    </row>
    <row r="466" spans="1:8" ht="48" customHeight="1">
      <c r="A466" s="4" t="s">
        <v>677</v>
      </c>
      <c r="B466" s="4" t="s">
        <v>1800</v>
      </c>
      <c r="C466" s="4" t="s">
        <v>1465</v>
      </c>
      <c r="D466" s="4" t="s">
        <v>1801</v>
      </c>
      <c r="E466" s="9">
        <v>1396</v>
      </c>
      <c r="F466" s="4" t="s">
        <v>1796</v>
      </c>
      <c r="G466" s="4" t="s">
        <v>1664</v>
      </c>
      <c r="H466" s="4" t="s">
        <v>3558</v>
      </c>
    </row>
    <row r="467" spans="1:8" ht="84" customHeight="1">
      <c r="A467" s="3" t="s">
        <v>2169</v>
      </c>
      <c r="B467" s="3" t="s">
        <v>2171</v>
      </c>
      <c r="C467" s="3" t="s">
        <v>1465</v>
      </c>
      <c r="D467" s="3" t="s">
        <v>2172</v>
      </c>
      <c r="E467" s="8">
        <v>9136</v>
      </c>
      <c r="F467" s="3" t="s">
        <v>1641</v>
      </c>
      <c r="G467" s="3" t="s">
        <v>1642</v>
      </c>
      <c r="H467" s="3" t="s">
        <v>3559</v>
      </c>
    </row>
    <row r="468" spans="1:8" ht="84" customHeight="1">
      <c r="A468" s="4" t="s">
        <v>2169</v>
      </c>
      <c r="B468" s="4" t="s">
        <v>3560</v>
      </c>
      <c r="C468" s="4" t="s">
        <v>1465</v>
      </c>
      <c r="D468" s="4" t="s">
        <v>3561</v>
      </c>
      <c r="E468" s="9">
        <v>8974</v>
      </c>
      <c r="F468" s="4" t="s">
        <v>1641</v>
      </c>
      <c r="G468" s="4" t="s">
        <v>1642</v>
      </c>
      <c r="H468" s="4" t="s">
        <v>3562</v>
      </c>
    </row>
    <row r="469" spans="1:8" ht="84" customHeight="1">
      <c r="A469" s="3" t="s">
        <v>2169</v>
      </c>
      <c r="B469" s="3" t="s">
        <v>3563</v>
      </c>
      <c r="C469" s="3" t="s">
        <v>1465</v>
      </c>
      <c r="D469" s="3" t="s">
        <v>3564</v>
      </c>
      <c r="E469" s="8">
        <v>4142</v>
      </c>
      <c r="F469" s="3" t="s">
        <v>3565</v>
      </c>
      <c r="G469" s="3" t="s">
        <v>1642</v>
      </c>
      <c r="H469" s="3" t="s">
        <v>3566</v>
      </c>
    </row>
    <row r="470" spans="1:8" ht="84" customHeight="1">
      <c r="A470" s="4" t="s">
        <v>2169</v>
      </c>
      <c r="B470" s="4" t="s">
        <v>3567</v>
      </c>
      <c r="C470" s="4" t="s">
        <v>1465</v>
      </c>
      <c r="D470" s="4" t="s">
        <v>3568</v>
      </c>
      <c r="E470" s="9">
        <v>4037</v>
      </c>
      <c r="F470" s="4" t="s">
        <v>3565</v>
      </c>
      <c r="G470" s="4" t="s">
        <v>1642</v>
      </c>
      <c r="H470" s="4" t="s">
        <v>3569</v>
      </c>
    </row>
    <row r="471" spans="1:8" ht="48" customHeight="1">
      <c r="A471" s="3" t="s">
        <v>2169</v>
      </c>
      <c r="B471" s="3" t="s">
        <v>3570</v>
      </c>
      <c r="C471" s="3" t="s">
        <v>1465</v>
      </c>
      <c r="D471" s="3" t="s">
        <v>3571</v>
      </c>
      <c r="E471" s="8">
        <v>1281</v>
      </c>
      <c r="F471" s="3" t="s">
        <v>1362</v>
      </c>
      <c r="G471" s="3" t="s">
        <v>1664</v>
      </c>
      <c r="H471" s="3" t="s">
        <v>3572</v>
      </c>
    </row>
    <row r="472" spans="1:8" ht="30" customHeight="1">
      <c r="A472" s="4" t="s">
        <v>2268</v>
      </c>
      <c r="B472" s="4" t="s">
        <v>3433</v>
      </c>
      <c r="C472" s="4" t="s">
        <v>1465</v>
      </c>
      <c r="D472" s="4" t="s">
        <v>3434</v>
      </c>
      <c r="E472" s="9">
        <v>4418</v>
      </c>
      <c r="F472" s="4" t="s">
        <v>3435</v>
      </c>
      <c r="G472" s="4" t="s">
        <v>1664</v>
      </c>
      <c r="H472" s="4" t="s">
        <v>3573</v>
      </c>
    </row>
    <row r="473" spans="1:8" ht="30" customHeight="1">
      <c r="A473" s="3" t="s">
        <v>2268</v>
      </c>
      <c r="B473" s="3" t="s">
        <v>2270</v>
      </c>
      <c r="C473" s="3" t="s">
        <v>1465</v>
      </c>
      <c r="D473" s="3" t="s">
        <v>2271</v>
      </c>
      <c r="E473" s="8">
        <v>2537</v>
      </c>
      <c r="F473" s="3" t="s">
        <v>1684</v>
      </c>
      <c r="G473" s="3" t="s">
        <v>1642</v>
      </c>
      <c r="H473" s="3" t="s">
        <v>3574</v>
      </c>
    </row>
    <row r="474" spans="1:8" ht="30" customHeight="1">
      <c r="A474" s="4" t="s">
        <v>2268</v>
      </c>
      <c r="B474" s="4" t="s">
        <v>3575</v>
      </c>
      <c r="C474" s="4" t="s">
        <v>1465</v>
      </c>
      <c r="D474" s="4" t="s">
        <v>3576</v>
      </c>
      <c r="E474" s="9">
        <v>2537</v>
      </c>
      <c r="F474" s="4" t="s">
        <v>1684</v>
      </c>
      <c r="G474" s="4" t="s">
        <v>1642</v>
      </c>
      <c r="H474" s="4" t="s">
        <v>3577</v>
      </c>
    </row>
    <row r="475" spans="1:8" ht="30" customHeight="1">
      <c r="A475" s="3" t="s">
        <v>2268</v>
      </c>
      <c r="B475" s="3" t="s">
        <v>3578</v>
      </c>
      <c r="C475" s="3" t="s">
        <v>1465</v>
      </c>
      <c r="D475" s="3" t="s">
        <v>3579</v>
      </c>
      <c r="E475" s="8">
        <v>2537</v>
      </c>
      <c r="F475" s="3" t="s">
        <v>1684</v>
      </c>
      <c r="G475" s="3" t="s">
        <v>1642</v>
      </c>
      <c r="H475" s="3" t="s">
        <v>3580</v>
      </c>
    </row>
    <row r="476" spans="1:8" ht="30" customHeight="1">
      <c r="A476" s="4" t="s">
        <v>2268</v>
      </c>
      <c r="B476" s="4" t="s">
        <v>3581</v>
      </c>
      <c r="C476" s="4" t="s">
        <v>1465</v>
      </c>
      <c r="D476" s="4" t="s">
        <v>3582</v>
      </c>
      <c r="E476" s="9">
        <v>2537</v>
      </c>
      <c r="F476" s="4" t="s">
        <v>1684</v>
      </c>
      <c r="G476" s="4" t="s">
        <v>1642</v>
      </c>
      <c r="H476" s="4" t="s">
        <v>3583</v>
      </c>
    </row>
    <row r="477" spans="1:8" ht="30" customHeight="1">
      <c r="A477" s="3" t="s">
        <v>2268</v>
      </c>
      <c r="B477" s="3" t="s">
        <v>3444</v>
      </c>
      <c r="C477" s="3" t="s">
        <v>1465</v>
      </c>
      <c r="D477" s="3" t="s">
        <v>3445</v>
      </c>
      <c r="E477" s="8">
        <v>1370</v>
      </c>
      <c r="F477" s="3" t="s">
        <v>2773</v>
      </c>
      <c r="G477" s="3" t="s">
        <v>1664</v>
      </c>
      <c r="H477" s="3" t="s">
        <v>3584</v>
      </c>
    </row>
    <row r="478" spans="1:8" ht="30" customHeight="1">
      <c r="A478" s="4" t="s">
        <v>2268</v>
      </c>
      <c r="B478" s="4" t="s">
        <v>3447</v>
      </c>
      <c r="C478" s="4" t="s">
        <v>1465</v>
      </c>
      <c r="D478" s="4" t="s">
        <v>3448</v>
      </c>
      <c r="E478" s="9">
        <v>1370</v>
      </c>
      <c r="F478" s="4" t="s">
        <v>2773</v>
      </c>
      <c r="G478" s="4" t="s">
        <v>1664</v>
      </c>
      <c r="H478" s="4" t="s">
        <v>3584</v>
      </c>
    </row>
    <row r="479" spans="1:8" ht="30" customHeight="1">
      <c r="A479" s="3" t="s">
        <v>2268</v>
      </c>
      <c r="B479" s="3" t="s">
        <v>3450</v>
      </c>
      <c r="C479" s="3" t="s">
        <v>1465</v>
      </c>
      <c r="D479" s="3" t="s">
        <v>3451</v>
      </c>
      <c r="E479" s="8">
        <v>1368</v>
      </c>
      <c r="F479" s="3" t="s">
        <v>2773</v>
      </c>
      <c r="G479" s="3" t="s">
        <v>1664</v>
      </c>
      <c r="H479" s="3" t="s">
        <v>3584</v>
      </c>
    </row>
    <row r="480" spans="1:8" ht="30" customHeight="1">
      <c r="A480" s="4" t="s">
        <v>2268</v>
      </c>
      <c r="B480" s="4" t="s">
        <v>3453</v>
      </c>
      <c r="C480" s="4" t="s">
        <v>1465</v>
      </c>
      <c r="D480" s="4" t="s">
        <v>3454</v>
      </c>
      <c r="E480" s="9">
        <v>1368</v>
      </c>
      <c r="F480" s="4" t="s">
        <v>2773</v>
      </c>
      <c r="G480" s="4" t="s">
        <v>1664</v>
      </c>
      <c r="H480" s="4" t="s">
        <v>3584</v>
      </c>
    </row>
    <row r="481" spans="1:8" ht="30" customHeight="1">
      <c r="A481" s="3" t="s">
        <v>2268</v>
      </c>
      <c r="B481" s="3" t="s">
        <v>3585</v>
      </c>
      <c r="C481" s="3" t="s">
        <v>1465</v>
      </c>
      <c r="D481" s="3" t="s">
        <v>3586</v>
      </c>
      <c r="E481" s="8">
        <v>1207</v>
      </c>
      <c r="F481" s="3" t="s">
        <v>1376</v>
      </c>
      <c r="G481" s="3" t="s">
        <v>1642</v>
      </c>
      <c r="H481" s="3" t="s">
        <v>3587</v>
      </c>
    </row>
    <row r="482" spans="1:8" ht="66" customHeight="1">
      <c r="A482" s="4" t="s">
        <v>2268</v>
      </c>
      <c r="B482" s="4" t="s">
        <v>3588</v>
      </c>
      <c r="C482" s="4" t="s">
        <v>1465</v>
      </c>
      <c r="D482" s="4" t="s">
        <v>3589</v>
      </c>
      <c r="E482" s="9">
        <v>1126</v>
      </c>
      <c r="F482" s="4" t="s">
        <v>1376</v>
      </c>
      <c r="G482" s="4" t="s">
        <v>1642</v>
      </c>
      <c r="H482" s="4" t="s">
        <v>3590</v>
      </c>
    </row>
    <row r="483" spans="1:8" ht="30" customHeight="1">
      <c r="A483" s="3" t="s">
        <v>2268</v>
      </c>
      <c r="B483" s="3" t="s">
        <v>3591</v>
      </c>
      <c r="C483" s="3" t="s">
        <v>1465</v>
      </c>
      <c r="D483" s="3" t="s">
        <v>3592</v>
      </c>
      <c r="E483" s="8">
        <v>1031</v>
      </c>
      <c r="F483" s="3" t="s">
        <v>1396</v>
      </c>
      <c r="G483" s="3" t="s">
        <v>1642</v>
      </c>
      <c r="H483" s="3" t="s">
        <v>3593</v>
      </c>
    </row>
    <row r="484" spans="1:8" ht="48" customHeight="1">
      <c r="A484" s="4" t="s">
        <v>625</v>
      </c>
      <c r="B484" s="4" t="s">
        <v>626</v>
      </c>
      <c r="C484" s="4" t="s">
        <v>1643</v>
      </c>
      <c r="D484" s="4" t="s">
        <v>1881</v>
      </c>
      <c r="E484" s="9">
        <v>2536</v>
      </c>
      <c r="F484" s="4" t="s">
        <v>1684</v>
      </c>
      <c r="G484" s="4" t="s">
        <v>1642</v>
      </c>
      <c r="H484" s="4" t="s">
        <v>3594</v>
      </c>
    </row>
    <row r="485" spans="1:8" ht="48" customHeight="1">
      <c r="A485" s="3" t="s">
        <v>625</v>
      </c>
      <c r="B485" s="3" t="s">
        <v>1882</v>
      </c>
      <c r="C485" s="3" t="s">
        <v>1643</v>
      </c>
      <c r="D485" s="3" t="s">
        <v>3595</v>
      </c>
      <c r="E485" s="8">
        <v>1050</v>
      </c>
      <c r="F485" s="3" t="s">
        <v>1394</v>
      </c>
      <c r="G485" s="3" t="s">
        <v>1664</v>
      </c>
      <c r="H485" s="3" t="s">
        <v>3596</v>
      </c>
    </row>
    <row r="486" spans="1:8" ht="48" customHeight="1">
      <c r="A486" s="4" t="s">
        <v>625</v>
      </c>
      <c r="B486" s="4" t="s">
        <v>3597</v>
      </c>
      <c r="C486" s="4" t="s">
        <v>1465</v>
      </c>
      <c r="D486" s="4" t="s">
        <v>3598</v>
      </c>
      <c r="E486" s="9">
        <v>5371</v>
      </c>
      <c r="F486" s="4" t="s">
        <v>3599</v>
      </c>
      <c r="G486" s="4" t="s">
        <v>1642</v>
      </c>
      <c r="H486" s="4" t="s">
        <v>3600</v>
      </c>
    </row>
    <row r="487" spans="1:8" ht="48" customHeight="1">
      <c r="A487" s="3" t="s">
        <v>625</v>
      </c>
      <c r="B487" s="3" t="s">
        <v>1813</v>
      </c>
      <c r="C487" s="3" t="s">
        <v>1465</v>
      </c>
      <c r="D487" s="3" t="s">
        <v>1814</v>
      </c>
      <c r="E487" s="8">
        <v>5183</v>
      </c>
      <c r="F487" s="3" t="s">
        <v>1815</v>
      </c>
      <c r="G487" s="3" t="s">
        <v>1642</v>
      </c>
      <c r="H487" s="3" t="s">
        <v>3601</v>
      </c>
    </row>
    <row r="488" spans="1:8" ht="48" customHeight="1">
      <c r="A488" s="4" t="s">
        <v>625</v>
      </c>
      <c r="B488" s="4" t="s">
        <v>2212</v>
      </c>
      <c r="C488" s="4" t="s">
        <v>1465</v>
      </c>
      <c r="D488" s="4" t="s">
        <v>2213</v>
      </c>
      <c r="E488" s="9">
        <v>3482</v>
      </c>
      <c r="F488" s="4" t="s">
        <v>2214</v>
      </c>
      <c r="G488" s="4" t="s">
        <v>1642</v>
      </c>
      <c r="H488" s="4" t="s">
        <v>3602</v>
      </c>
    </row>
    <row r="489" spans="1:8" ht="48" customHeight="1">
      <c r="A489" s="3" t="s">
        <v>625</v>
      </c>
      <c r="B489" s="3" t="s">
        <v>3603</v>
      </c>
      <c r="C489" s="3" t="s">
        <v>1465</v>
      </c>
      <c r="D489" s="3" t="s">
        <v>3604</v>
      </c>
      <c r="E489" s="8">
        <v>3477</v>
      </c>
      <c r="F489" s="3" t="s">
        <v>2214</v>
      </c>
      <c r="G489" s="3" t="s">
        <v>1642</v>
      </c>
      <c r="H489" s="3" t="s">
        <v>3605</v>
      </c>
    </row>
    <row r="490" spans="1:8" ht="48" customHeight="1">
      <c r="A490" s="4" t="s">
        <v>625</v>
      </c>
      <c r="B490" s="4" t="s">
        <v>3606</v>
      </c>
      <c r="C490" s="4" t="s">
        <v>1465</v>
      </c>
      <c r="D490" s="4" t="s">
        <v>3607</v>
      </c>
      <c r="E490" s="9">
        <v>2629</v>
      </c>
      <c r="F490" s="4" t="s">
        <v>1681</v>
      </c>
      <c r="G490" s="4" t="s">
        <v>1664</v>
      </c>
      <c r="H490" s="4" t="s">
        <v>3608</v>
      </c>
    </row>
    <row r="491" spans="1:8" ht="48" customHeight="1">
      <c r="A491" s="3" t="s">
        <v>625</v>
      </c>
      <c r="B491" s="3" t="s">
        <v>3609</v>
      </c>
      <c r="C491" s="3" t="s">
        <v>1465</v>
      </c>
      <c r="D491" s="3" t="s">
        <v>3610</v>
      </c>
      <c r="E491" s="8">
        <v>2535</v>
      </c>
      <c r="F491" s="3" t="s">
        <v>1684</v>
      </c>
      <c r="G491" s="3" t="s">
        <v>1642</v>
      </c>
      <c r="H491" s="3" t="s">
        <v>3611</v>
      </c>
    </row>
    <row r="492" spans="1:8" ht="48" customHeight="1">
      <c r="A492" s="4" t="s">
        <v>625</v>
      </c>
      <c r="B492" s="4" t="s">
        <v>1817</v>
      </c>
      <c r="C492" s="4" t="s">
        <v>1465</v>
      </c>
      <c r="D492" s="4" t="s">
        <v>1814</v>
      </c>
      <c r="E492" s="9">
        <v>2439</v>
      </c>
      <c r="F492" s="4" t="s">
        <v>1778</v>
      </c>
      <c r="G492" s="4" t="s">
        <v>1642</v>
      </c>
      <c r="H492" s="4" t="s">
        <v>3601</v>
      </c>
    </row>
    <row r="493" spans="1:8" ht="48" customHeight="1">
      <c r="A493" s="3" t="s">
        <v>625</v>
      </c>
      <c r="B493" s="3" t="s">
        <v>3612</v>
      </c>
      <c r="C493" s="3" t="s">
        <v>1465</v>
      </c>
      <c r="D493" s="3" t="s">
        <v>3613</v>
      </c>
      <c r="E493" s="8">
        <v>1292</v>
      </c>
      <c r="F493" s="3" t="s">
        <v>3001</v>
      </c>
      <c r="G493" s="3" t="s">
        <v>1664</v>
      </c>
      <c r="H493" s="3" t="s">
        <v>3614</v>
      </c>
    </row>
    <row r="494" spans="1:8" ht="48" customHeight="1">
      <c r="A494" s="4" t="s">
        <v>625</v>
      </c>
      <c r="B494" s="4" t="s">
        <v>3615</v>
      </c>
      <c r="C494" s="4" t="s">
        <v>1465</v>
      </c>
      <c r="D494" s="4" t="s">
        <v>3616</v>
      </c>
      <c r="E494" s="9">
        <v>1291</v>
      </c>
      <c r="F494" s="4" t="s">
        <v>3001</v>
      </c>
      <c r="G494" s="4" t="s">
        <v>1664</v>
      </c>
      <c r="H494" s="4" t="s">
        <v>3617</v>
      </c>
    </row>
    <row r="495" spans="1:8" ht="48" customHeight="1">
      <c r="A495" s="3" t="s">
        <v>625</v>
      </c>
      <c r="B495" s="3" t="s">
        <v>3618</v>
      </c>
      <c r="C495" s="3" t="s">
        <v>1465</v>
      </c>
      <c r="D495" s="3" t="s">
        <v>3619</v>
      </c>
      <c r="E495" s="8">
        <v>1211</v>
      </c>
      <c r="F495" s="3" t="s">
        <v>1376</v>
      </c>
      <c r="G495" s="3" t="s">
        <v>1642</v>
      </c>
      <c r="H495" s="3" t="s">
        <v>3620</v>
      </c>
    </row>
    <row r="496" spans="1:8" ht="66" customHeight="1">
      <c r="A496" s="4" t="s">
        <v>625</v>
      </c>
      <c r="B496" s="4" t="s">
        <v>3621</v>
      </c>
      <c r="C496" s="4" t="s">
        <v>1465</v>
      </c>
      <c r="D496" s="4" t="s">
        <v>3622</v>
      </c>
      <c r="E496" s="9">
        <v>1067</v>
      </c>
      <c r="F496" s="4" t="s">
        <v>1370</v>
      </c>
      <c r="G496" s="4" t="s">
        <v>1642</v>
      </c>
      <c r="H496" s="4" t="s">
        <v>3623</v>
      </c>
    </row>
    <row r="497" spans="1:8" ht="48" customHeight="1">
      <c r="A497" s="3" t="s">
        <v>625</v>
      </c>
      <c r="B497" s="3" t="s">
        <v>3624</v>
      </c>
      <c r="C497" s="3" t="s">
        <v>1465</v>
      </c>
      <c r="D497" s="3" t="s">
        <v>3625</v>
      </c>
      <c r="E497" s="8">
        <v>1051</v>
      </c>
      <c r="F497" s="3" t="s">
        <v>1394</v>
      </c>
      <c r="G497" s="3" t="s">
        <v>1664</v>
      </c>
      <c r="H497" s="3" t="s">
        <v>3626</v>
      </c>
    </row>
    <row r="498" spans="1:8" ht="48" customHeight="1">
      <c r="A498" s="4" t="s">
        <v>625</v>
      </c>
      <c r="B498" s="4" t="s">
        <v>3627</v>
      </c>
      <c r="C498" s="4" t="s">
        <v>1465</v>
      </c>
      <c r="D498" s="4" t="s">
        <v>3628</v>
      </c>
      <c r="E498" s="9">
        <v>1051</v>
      </c>
      <c r="F498" s="4" t="s">
        <v>1394</v>
      </c>
      <c r="G498" s="4" t="s">
        <v>1664</v>
      </c>
      <c r="H498" s="4" t="s">
        <v>3629</v>
      </c>
    </row>
    <row r="499" spans="1:8" ht="48" customHeight="1">
      <c r="A499" s="3" t="s">
        <v>625</v>
      </c>
      <c r="B499" s="3" t="s">
        <v>3630</v>
      </c>
      <c r="C499" s="3" t="s">
        <v>1465</v>
      </c>
      <c r="D499" s="3" t="s">
        <v>3631</v>
      </c>
      <c r="E499" s="8">
        <v>1051</v>
      </c>
      <c r="F499" s="3" t="s">
        <v>1394</v>
      </c>
      <c r="G499" s="3" t="s">
        <v>1664</v>
      </c>
      <c r="H499" s="3" t="s">
        <v>3632</v>
      </c>
    </row>
    <row r="500" spans="1:8" ht="48" customHeight="1">
      <c r="A500" s="4" t="s">
        <v>625</v>
      </c>
      <c r="B500" s="4" t="s">
        <v>3633</v>
      </c>
      <c r="C500" s="4" t="s">
        <v>1465</v>
      </c>
      <c r="D500" s="4" t="s">
        <v>3634</v>
      </c>
      <c r="E500" s="9">
        <v>1050</v>
      </c>
      <c r="F500" s="4" t="s">
        <v>1394</v>
      </c>
      <c r="G500" s="4" t="s">
        <v>1664</v>
      </c>
      <c r="H500" s="4" t="s">
        <v>3635</v>
      </c>
    </row>
    <row r="501" spans="1:8" ht="48" customHeight="1">
      <c r="A501" s="3" t="s">
        <v>625</v>
      </c>
      <c r="B501" s="3" t="s">
        <v>3636</v>
      </c>
      <c r="C501" s="3" t="s">
        <v>1465</v>
      </c>
      <c r="D501" s="3" t="s">
        <v>3637</v>
      </c>
      <c r="E501" s="8">
        <v>1050</v>
      </c>
      <c r="F501" s="3" t="s">
        <v>1394</v>
      </c>
      <c r="G501" s="3" t="s">
        <v>1664</v>
      </c>
      <c r="H501" s="3" t="s">
        <v>3638</v>
      </c>
    </row>
    <row r="502" spans="1:8" ht="48" customHeight="1">
      <c r="A502" s="4" t="s">
        <v>625</v>
      </c>
      <c r="B502" s="4" t="s">
        <v>3639</v>
      </c>
      <c r="C502" s="4" t="s">
        <v>1465</v>
      </c>
      <c r="D502" s="4" t="s">
        <v>3640</v>
      </c>
      <c r="E502" s="9">
        <v>1029</v>
      </c>
      <c r="F502" s="4" t="s">
        <v>1396</v>
      </c>
      <c r="G502" s="4" t="s">
        <v>1642</v>
      </c>
      <c r="H502" s="4" t="s">
        <v>3641</v>
      </c>
    </row>
    <row r="503" spans="1:8" ht="48" customHeight="1">
      <c r="A503" s="3" t="s">
        <v>2199</v>
      </c>
      <c r="B503" s="3" t="s">
        <v>1855</v>
      </c>
      <c r="C503" s="3" t="s">
        <v>1465</v>
      </c>
      <c r="D503" s="3" t="s">
        <v>1856</v>
      </c>
      <c r="E503" s="8">
        <v>3976</v>
      </c>
      <c r="F503" s="3" t="s">
        <v>1857</v>
      </c>
      <c r="G503" s="3" t="s">
        <v>1642</v>
      </c>
      <c r="H503" s="3" t="s">
        <v>3642</v>
      </c>
    </row>
    <row r="504" spans="1:8" ht="48" customHeight="1">
      <c r="A504" s="4" t="s">
        <v>2199</v>
      </c>
      <c r="B504" s="4" t="s">
        <v>1858</v>
      </c>
      <c r="C504" s="4" t="s">
        <v>1465</v>
      </c>
      <c r="D504" s="4" t="s">
        <v>3643</v>
      </c>
      <c r="E504" s="9">
        <v>3975</v>
      </c>
      <c r="F504" s="4" t="s">
        <v>1857</v>
      </c>
      <c r="G504" s="4" t="s">
        <v>1642</v>
      </c>
      <c r="H504" s="4" t="s">
        <v>3644</v>
      </c>
    </row>
    <row r="505" spans="1:8" ht="48" customHeight="1">
      <c r="A505" s="3" t="s">
        <v>2452</v>
      </c>
      <c r="B505" s="3" t="s">
        <v>1805</v>
      </c>
      <c r="C505" s="3" t="s">
        <v>1465</v>
      </c>
      <c r="D505" s="3" t="s">
        <v>1806</v>
      </c>
      <c r="E505" s="8">
        <v>1207</v>
      </c>
      <c r="F505" s="3" t="s">
        <v>1376</v>
      </c>
      <c r="G505" s="3" t="s">
        <v>1642</v>
      </c>
      <c r="H505" s="3" t="s">
        <v>3645</v>
      </c>
    </row>
    <row r="506" spans="1:8" ht="48" customHeight="1">
      <c r="A506" s="4" t="s">
        <v>2201</v>
      </c>
      <c r="B506" s="4" t="s">
        <v>2203</v>
      </c>
      <c r="C506" s="4" t="s">
        <v>1465</v>
      </c>
      <c r="D506" s="4" t="s">
        <v>2204</v>
      </c>
      <c r="E506" s="9">
        <v>3821</v>
      </c>
      <c r="F506" s="4" t="s">
        <v>1668</v>
      </c>
      <c r="G506" s="4" t="s">
        <v>1642</v>
      </c>
      <c r="H506" s="4" t="s">
        <v>3646</v>
      </c>
    </row>
    <row r="507" spans="1:8" ht="48" customHeight="1">
      <c r="A507" s="3" t="s">
        <v>2201</v>
      </c>
      <c r="B507" s="3" t="s">
        <v>3647</v>
      </c>
      <c r="C507" s="3" t="s">
        <v>1465</v>
      </c>
      <c r="D507" s="3" t="s">
        <v>3648</v>
      </c>
      <c r="E507" s="8">
        <v>2537</v>
      </c>
      <c r="F507" s="3" t="s">
        <v>1684</v>
      </c>
      <c r="G507" s="3" t="s">
        <v>1642</v>
      </c>
      <c r="H507" s="3" t="s">
        <v>3649</v>
      </c>
    </row>
    <row r="508" spans="1:8" ht="48" customHeight="1">
      <c r="A508" s="4" t="s">
        <v>2201</v>
      </c>
      <c r="B508" s="4" t="s">
        <v>2278</v>
      </c>
      <c r="C508" s="4" t="s">
        <v>1465</v>
      </c>
      <c r="D508" s="4" t="s">
        <v>2279</v>
      </c>
      <c r="E508" s="9">
        <v>2535</v>
      </c>
      <c r="F508" s="4" t="s">
        <v>1684</v>
      </c>
      <c r="G508" s="4" t="s">
        <v>1642</v>
      </c>
      <c r="H508" s="4" t="s">
        <v>3650</v>
      </c>
    </row>
    <row r="509" spans="1:8" ht="48" customHeight="1">
      <c r="A509" s="3" t="s">
        <v>2173</v>
      </c>
      <c r="B509" s="3" t="s">
        <v>2175</v>
      </c>
      <c r="C509" s="3" t="s">
        <v>1465</v>
      </c>
      <c r="D509" s="3" t="s">
        <v>2176</v>
      </c>
      <c r="E509" s="8">
        <v>8818</v>
      </c>
      <c r="F509" s="3" t="s">
        <v>2177</v>
      </c>
      <c r="G509" s="3" t="s">
        <v>1642</v>
      </c>
      <c r="H509" s="3" t="s">
        <v>3651</v>
      </c>
    </row>
    <row r="510" spans="1:8" ht="48" customHeight="1">
      <c r="A510" s="4" t="s">
        <v>2173</v>
      </c>
      <c r="B510" s="4" t="s">
        <v>2785</v>
      </c>
      <c r="C510" s="4" t="s">
        <v>1465</v>
      </c>
      <c r="D510" s="4" t="s">
        <v>2786</v>
      </c>
      <c r="E510" s="9">
        <v>8785</v>
      </c>
      <c r="F510" s="4" t="s">
        <v>2177</v>
      </c>
      <c r="G510" s="4" t="s">
        <v>1642</v>
      </c>
      <c r="H510" s="4" t="s">
        <v>3652</v>
      </c>
    </row>
    <row r="511" spans="1:8" ht="48" customHeight="1">
      <c r="A511" s="3" t="s">
        <v>2173</v>
      </c>
      <c r="B511" s="3" t="s">
        <v>1009</v>
      </c>
      <c r="C511" s="3" t="s">
        <v>1465</v>
      </c>
      <c r="D511" s="3" t="s">
        <v>2788</v>
      </c>
      <c r="E511" s="8">
        <v>8730</v>
      </c>
      <c r="F511" s="3" t="s">
        <v>2177</v>
      </c>
      <c r="G511" s="3" t="s">
        <v>1642</v>
      </c>
      <c r="H511" s="3" t="s">
        <v>3653</v>
      </c>
    </row>
    <row r="512" spans="1:8" ht="30" customHeight="1">
      <c r="A512" s="4" t="s">
        <v>2426</v>
      </c>
      <c r="B512" s="4" t="s">
        <v>2428</v>
      </c>
      <c r="C512" s="4" t="s">
        <v>1465</v>
      </c>
      <c r="D512" s="4" t="s">
        <v>2429</v>
      </c>
      <c r="E512" s="9">
        <v>1372</v>
      </c>
      <c r="F512" s="4" t="s">
        <v>1354</v>
      </c>
      <c r="G512" s="4" t="s">
        <v>1664</v>
      </c>
      <c r="H512" s="4" t="s">
        <v>3654</v>
      </c>
    </row>
    <row r="513" spans="1:8" ht="30" customHeight="1">
      <c r="A513" s="3" t="s">
        <v>811</v>
      </c>
      <c r="B513" s="3" t="s">
        <v>1938</v>
      </c>
      <c r="C513" s="3" t="s">
        <v>1643</v>
      </c>
      <c r="D513" s="3" t="s">
        <v>1939</v>
      </c>
      <c r="E513" s="8">
        <v>1358</v>
      </c>
      <c r="F513" s="3" t="s">
        <v>1354</v>
      </c>
      <c r="G513" s="3" t="s">
        <v>1664</v>
      </c>
      <c r="H513" s="3" t="s">
        <v>3655</v>
      </c>
    </row>
    <row r="514" spans="1:8" ht="48" customHeight="1">
      <c r="A514" s="4" t="s">
        <v>811</v>
      </c>
      <c r="B514" s="4" t="s">
        <v>3656</v>
      </c>
      <c r="C514" s="4" t="s">
        <v>1465</v>
      </c>
      <c r="D514" s="4" t="s">
        <v>3657</v>
      </c>
      <c r="E514" s="9">
        <v>1431</v>
      </c>
      <c r="F514" s="4" t="s">
        <v>1356</v>
      </c>
      <c r="G514" s="4" t="s">
        <v>1664</v>
      </c>
      <c r="H514" s="4" t="s">
        <v>3658</v>
      </c>
    </row>
    <row r="515" spans="1:8" ht="30" customHeight="1">
      <c r="A515" s="3" t="s">
        <v>811</v>
      </c>
      <c r="B515" s="3" t="s">
        <v>3659</v>
      </c>
      <c r="C515" s="3" t="s">
        <v>1465</v>
      </c>
      <c r="D515" s="3" t="s">
        <v>3660</v>
      </c>
      <c r="E515" s="8">
        <v>1427</v>
      </c>
      <c r="F515" s="3" t="s">
        <v>1356</v>
      </c>
      <c r="G515" s="3" t="s">
        <v>1664</v>
      </c>
      <c r="H515" s="3" t="s">
        <v>3661</v>
      </c>
    </row>
    <row r="516" spans="1:8" ht="30" customHeight="1">
      <c r="A516" s="4" t="s">
        <v>811</v>
      </c>
      <c r="B516" s="4" t="s">
        <v>2422</v>
      </c>
      <c r="C516" s="4" t="s">
        <v>1465</v>
      </c>
      <c r="D516" s="4" t="s">
        <v>2423</v>
      </c>
      <c r="E516" s="9">
        <v>1384</v>
      </c>
      <c r="F516" s="4" t="s">
        <v>1356</v>
      </c>
      <c r="G516" s="4" t="s">
        <v>1664</v>
      </c>
      <c r="H516" s="4" t="s">
        <v>3662</v>
      </c>
    </row>
    <row r="517" spans="1:8" ht="30" customHeight="1">
      <c r="A517" s="3" t="s">
        <v>2344</v>
      </c>
      <c r="B517" s="3" t="s">
        <v>2346</v>
      </c>
      <c r="C517" s="3" t="s">
        <v>1465</v>
      </c>
      <c r="D517" s="3" t="s">
        <v>2347</v>
      </c>
      <c r="E517" s="8">
        <v>1478</v>
      </c>
      <c r="F517" s="3" t="s">
        <v>1354</v>
      </c>
      <c r="G517" s="3" t="s">
        <v>1664</v>
      </c>
      <c r="H517" s="3" t="s">
        <v>3663</v>
      </c>
    </row>
    <row r="518" spans="1:8" ht="48" customHeight="1">
      <c r="A518" s="4" t="s">
        <v>2420</v>
      </c>
      <c r="B518" s="4" t="s">
        <v>2422</v>
      </c>
      <c r="C518" s="4" t="s">
        <v>1465</v>
      </c>
      <c r="D518" s="4" t="s">
        <v>2423</v>
      </c>
      <c r="E518" s="9">
        <v>1384</v>
      </c>
      <c r="F518" s="4" t="s">
        <v>1356</v>
      </c>
      <c r="G518" s="4" t="s">
        <v>1664</v>
      </c>
      <c r="H518" s="4" t="s">
        <v>3664</v>
      </c>
    </row>
    <row r="519" spans="1:8" ht="48" customHeight="1">
      <c r="A519" s="3" t="s">
        <v>2424</v>
      </c>
      <c r="B519" s="3" t="s">
        <v>2422</v>
      </c>
      <c r="C519" s="3" t="s">
        <v>1465</v>
      </c>
      <c r="D519" s="3" t="s">
        <v>2423</v>
      </c>
      <c r="E519" s="8">
        <v>1384</v>
      </c>
      <c r="F519" s="3" t="s">
        <v>1356</v>
      </c>
      <c r="G519" s="3" t="s">
        <v>1664</v>
      </c>
      <c r="H519" s="3" t="s">
        <v>3665</v>
      </c>
    </row>
    <row r="520" spans="1:8" ht="30" customHeight="1">
      <c r="A520" s="4" t="s">
        <v>2424</v>
      </c>
      <c r="B520" s="4" t="s">
        <v>2428</v>
      </c>
      <c r="C520" s="4" t="s">
        <v>1465</v>
      </c>
      <c r="D520" s="4" t="s">
        <v>2429</v>
      </c>
      <c r="E520" s="9">
        <v>1372</v>
      </c>
      <c r="F520" s="4" t="s">
        <v>1354</v>
      </c>
      <c r="G520" s="4" t="s">
        <v>1664</v>
      </c>
      <c r="H520" s="4" t="s">
        <v>3654</v>
      </c>
    </row>
    <row r="521" spans="1:8" ht="30" customHeight="1">
      <c r="A521" s="3" t="s">
        <v>2348</v>
      </c>
      <c r="B521" s="3" t="s">
        <v>1913</v>
      </c>
      <c r="C521" s="3" t="s">
        <v>1465</v>
      </c>
      <c r="D521" s="3" t="s">
        <v>1914</v>
      </c>
      <c r="E521" s="8">
        <v>1477</v>
      </c>
      <c r="F521" s="3" t="s">
        <v>1354</v>
      </c>
      <c r="G521" s="3" t="s">
        <v>1664</v>
      </c>
      <c r="H521" s="3" t="s">
        <v>3666</v>
      </c>
    </row>
    <row r="522" spans="1:8" ht="48" customHeight="1">
      <c r="A522" s="4" t="s">
        <v>2348</v>
      </c>
      <c r="B522" s="4" t="s">
        <v>2422</v>
      </c>
      <c r="C522" s="4" t="s">
        <v>1465</v>
      </c>
      <c r="D522" s="4" t="s">
        <v>2423</v>
      </c>
      <c r="E522" s="9">
        <v>1384</v>
      </c>
      <c r="F522" s="4" t="s">
        <v>1356</v>
      </c>
      <c r="G522" s="4" t="s">
        <v>1664</v>
      </c>
      <c r="H522" s="4" t="s">
        <v>3667</v>
      </c>
    </row>
    <row r="523" spans="1:8" ht="30" customHeight="1">
      <c r="A523" s="3" t="s">
        <v>822</v>
      </c>
      <c r="B523" s="3" t="s">
        <v>1913</v>
      </c>
      <c r="C523" s="3" t="s">
        <v>1643</v>
      </c>
      <c r="D523" s="3" t="s">
        <v>1914</v>
      </c>
      <c r="E523" s="8">
        <v>1477</v>
      </c>
      <c r="F523" s="3" t="s">
        <v>1354</v>
      </c>
      <c r="G523" s="3" t="s">
        <v>1664</v>
      </c>
      <c r="H523" s="3" t="s">
        <v>3668</v>
      </c>
    </row>
    <row r="524" spans="1:8" ht="48" customHeight="1">
      <c r="A524" s="4" t="s">
        <v>822</v>
      </c>
      <c r="B524" s="4" t="s">
        <v>2422</v>
      </c>
      <c r="C524" s="4" t="s">
        <v>1465</v>
      </c>
      <c r="D524" s="4" t="s">
        <v>2423</v>
      </c>
      <c r="E524" s="9">
        <v>1384</v>
      </c>
      <c r="F524" s="4" t="s">
        <v>1356</v>
      </c>
      <c r="G524" s="4" t="s">
        <v>1664</v>
      </c>
      <c r="H524" s="4" t="s">
        <v>3669</v>
      </c>
    </row>
    <row r="525" spans="1:8" ht="30" customHeight="1">
      <c r="A525" s="3" t="s">
        <v>820</v>
      </c>
      <c r="B525" s="3" t="s">
        <v>1935</v>
      </c>
      <c r="C525" s="3" t="s">
        <v>1643</v>
      </c>
      <c r="D525" s="3" t="s">
        <v>1936</v>
      </c>
      <c r="E525" s="8">
        <v>1360</v>
      </c>
      <c r="F525" s="3" t="s">
        <v>1354</v>
      </c>
      <c r="G525" s="3" t="s">
        <v>1664</v>
      </c>
      <c r="H525" s="3" t="s">
        <v>3670</v>
      </c>
    </row>
    <row r="526" spans="1:8" ht="30" customHeight="1">
      <c r="A526" s="4" t="s">
        <v>820</v>
      </c>
      <c r="B526" s="4" t="s">
        <v>2422</v>
      </c>
      <c r="C526" s="4" t="s">
        <v>1465</v>
      </c>
      <c r="D526" s="4" t="s">
        <v>2423</v>
      </c>
      <c r="E526" s="9">
        <v>1384</v>
      </c>
      <c r="F526" s="4" t="s">
        <v>1356</v>
      </c>
      <c r="G526" s="4" t="s">
        <v>1664</v>
      </c>
      <c r="H526" s="4" t="s">
        <v>3671</v>
      </c>
    </row>
    <row r="527" spans="1:8" ht="84" customHeight="1">
      <c r="A527" s="3" t="s">
        <v>572</v>
      </c>
      <c r="B527" s="3" t="s">
        <v>573</v>
      </c>
      <c r="C527" s="3" t="s">
        <v>1643</v>
      </c>
      <c r="D527" s="3" t="s">
        <v>1651</v>
      </c>
      <c r="E527" s="8">
        <v>22262</v>
      </c>
      <c r="F527" s="3" t="s">
        <v>1641</v>
      </c>
      <c r="G527" s="3" t="s">
        <v>1642</v>
      </c>
      <c r="H527" s="3" t="s">
        <v>3672</v>
      </c>
    </row>
    <row r="528" spans="1:8" ht="30" customHeight="1">
      <c r="A528" s="4" t="s">
        <v>572</v>
      </c>
      <c r="B528" s="4" t="s">
        <v>1842</v>
      </c>
      <c r="C528" s="4" t="s">
        <v>1643</v>
      </c>
      <c r="D528" s="4" t="s">
        <v>3673</v>
      </c>
      <c r="E528" s="9">
        <v>3687</v>
      </c>
      <c r="F528" s="4" t="s">
        <v>3674</v>
      </c>
      <c r="G528" s="4" t="s">
        <v>1642</v>
      </c>
      <c r="H528" s="4" t="s">
        <v>3675</v>
      </c>
    </row>
    <row r="529" spans="1:8" ht="84" customHeight="1">
      <c r="A529" s="3" t="s">
        <v>572</v>
      </c>
      <c r="B529" s="3" t="s">
        <v>950</v>
      </c>
      <c r="C529" s="3" t="s">
        <v>1465</v>
      </c>
      <c r="D529" s="3" t="s">
        <v>3676</v>
      </c>
      <c r="E529" s="8">
        <v>22779</v>
      </c>
      <c r="F529" s="3" t="s">
        <v>1641</v>
      </c>
      <c r="G529" s="3" t="s">
        <v>1642</v>
      </c>
      <c r="H529" s="3" t="s">
        <v>3677</v>
      </c>
    </row>
    <row r="530" spans="1:8" ht="48" customHeight="1">
      <c r="A530" s="4" t="s">
        <v>572</v>
      </c>
      <c r="B530" s="4" t="s">
        <v>1694</v>
      </c>
      <c r="C530" s="4" t="s">
        <v>1465</v>
      </c>
      <c r="D530" s="4" t="s">
        <v>1695</v>
      </c>
      <c r="E530" s="9">
        <v>8545</v>
      </c>
      <c r="F530" s="4" t="s">
        <v>1696</v>
      </c>
      <c r="G530" s="4" t="s">
        <v>1642</v>
      </c>
      <c r="H530" s="4" t="s">
        <v>3678</v>
      </c>
    </row>
    <row r="531" spans="1:8" ht="30" customHeight="1">
      <c r="A531" s="3" t="s">
        <v>572</v>
      </c>
      <c r="B531" s="3" t="s">
        <v>3679</v>
      </c>
      <c r="C531" s="3" t="s">
        <v>1465</v>
      </c>
      <c r="D531" s="3" t="s">
        <v>3680</v>
      </c>
      <c r="E531" s="8">
        <v>4006</v>
      </c>
      <c r="F531" s="3" t="s">
        <v>3681</v>
      </c>
      <c r="G531" s="3" t="s">
        <v>1664</v>
      </c>
      <c r="H531" s="3" t="s">
        <v>3682</v>
      </c>
    </row>
    <row r="532" spans="1:8" ht="48" customHeight="1">
      <c r="A532" s="4" t="s">
        <v>572</v>
      </c>
      <c r="B532" s="4" t="s">
        <v>1209</v>
      </c>
      <c r="C532" s="4" t="s">
        <v>1465</v>
      </c>
      <c r="D532" s="4" t="s">
        <v>3683</v>
      </c>
      <c r="E532" s="9">
        <v>3969</v>
      </c>
      <c r="F532" s="4" t="s">
        <v>1857</v>
      </c>
      <c r="G532" s="4" t="s">
        <v>1642</v>
      </c>
      <c r="H532" s="4" t="s">
        <v>3684</v>
      </c>
    </row>
    <row r="533" spans="1:8" ht="48" customHeight="1">
      <c r="A533" s="3" t="s">
        <v>572</v>
      </c>
      <c r="B533" s="3" t="s">
        <v>3685</v>
      </c>
      <c r="C533" s="3" t="s">
        <v>1465</v>
      </c>
      <c r="D533" s="3" t="s">
        <v>3686</v>
      </c>
      <c r="E533" s="8">
        <v>2905</v>
      </c>
      <c r="F533" s="3" t="s">
        <v>3687</v>
      </c>
      <c r="G533" s="3" t="s">
        <v>1664</v>
      </c>
      <c r="H533" s="3" t="s">
        <v>3688</v>
      </c>
    </row>
    <row r="534" spans="1:8" ht="48" customHeight="1">
      <c r="A534" s="4" t="s">
        <v>572</v>
      </c>
      <c r="B534" s="4" t="s">
        <v>3689</v>
      </c>
      <c r="C534" s="4" t="s">
        <v>1465</v>
      </c>
      <c r="D534" s="4" t="s">
        <v>3690</v>
      </c>
      <c r="E534" s="9">
        <v>2904</v>
      </c>
      <c r="F534" s="4" t="s">
        <v>3687</v>
      </c>
      <c r="G534" s="4" t="s">
        <v>1664</v>
      </c>
      <c r="H534" s="4" t="s">
        <v>3691</v>
      </c>
    </row>
    <row r="535" spans="1:8" ht="30" customHeight="1">
      <c r="A535" s="3" t="s">
        <v>572</v>
      </c>
      <c r="B535" s="3" t="s">
        <v>3692</v>
      </c>
      <c r="C535" s="3" t="s">
        <v>1465</v>
      </c>
      <c r="D535" s="3" t="s">
        <v>3693</v>
      </c>
      <c r="E535" s="8">
        <v>2904</v>
      </c>
      <c r="F535" s="3" t="s">
        <v>3687</v>
      </c>
      <c r="G535" s="3" t="s">
        <v>1664</v>
      </c>
      <c r="H535" s="3" t="s">
        <v>3694</v>
      </c>
    </row>
    <row r="536" spans="1:8" ht="30" customHeight="1">
      <c r="A536" s="4" t="s">
        <v>572</v>
      </c>
      <c r="B536" s="4" t="s">
        <v>3695</v>
      </c>
      <c r="C536" s="4" t="s">
        <v>1465</v>
      </c>
      <c r="D536" s="4" t="s">
        <v>3696</v>
      </c>
      <c r="E536" s="9">
        <v>2605</v>
      </c>
      <c r="F536" s="4" t="s">
        <v>1681</v>
      </c>
      <c r="G536" s="4" t="s">
        <v>1664</v>
      </c>
      <c r="H536" s="4" t="s">
        <v>3697</v>
      </c>
    </row>
    <row r="537" spans="1:8" ht="30" customHeight="1">
      <c r="A537" s="3" t="s">
        <v>572</v>
      </c>
      <c r="B537" s="3" t="s">
        <v>766</v>
      </c>
      <c r="C537" s="3" t="s">
        <v>1465</v>
      </c>
      <c r="D537" s="3" t="s">
        <v>1731</v>
      </c>
      <c r="E537" s="8">
        <v>2202</v>
      </c>
      <c r="F537" s="3" t="s">
        <v>1732</v>
      </c>
      <c r="G537" s="3" t="s">
        <v>1642</v>
      </c>
      <c r="H537" s="3" t="s">
        <v>3698</v>
      </c>
    </row>
    <row r="538" spans="1:8" ht="48" customHeight="1">
      <c r="A538" s="4" t="s">
        <v>572</v>
      </c>
      <c r="B538" s="4" t="s">
        <v>759</v>
      </c>
      <c r="C538" s="4" t="s">
        <v>1465</v>
      </c>
      <c r="D538" s="4" t="s">
        <v>3699</v>
      </c>
      <c r="E538" s="9">
        <v>1636</v>
      </c>
      <c r="F538" s="4" t="s">
        <v>3700</v>
      </c>
      <c r="G538" s="4" t="s">
        <v>1642</v>
      </c>
      <c r="H538" s="4" t="s">
        <v>3701</v>
      </c>
    </row>
    <row r="539" spans="1:8" ht="48" customHeight="1">
      <c r="A539" s="3" t="s">
        <v>572</v>
      </c>
      <c r="B539" s="3" t="s">
        <v>3702</v>
      </c>
      <c r="C539" s="3" t="s">
        <v>1465</v>
      </c>
      <c r="D539" s="3" t="s">
        <v>3703</v>
      </c>
      <c r="E539" s="8">
        <v>1616</v>
      </c>
      <c r="F539" s="3" t="s">
        <v>3700</v>
      </c>
      <c r="G539" s="3" t="s">
        <v>1642</v>
      </c>
      <c r="H539" s="3" t="s">
        <v>3701</v>
      </c>
    </row>
    <row r="540" spans="1:8" ht="48" customHeight="1">
      <c r="A540" s="4" t="s">
        <v>572</v>
      </c>
      <c r="B540" s="4" t="s">
        <v>3704</v>
      </c>
      <c r="C540" s="4" t="s">
        <v>1465</v>
      </c>
      <c r="D540" s="4" t="s">
        <v>3705</v>
      </c>
      <c r="E540" s="9">
        <v>1289</v>
      </c>
      <c r="F540" s="4" t="s">
        <v>3001</v>
      </c>
      <c r="G540" s="4" t="s">
        <v>1664</v>
      </c>
      <c r="H540" s="4" t="s">
        <v>3706</v>
      </c>
    </row>
    <row r="541" spans="1:8" ht="30" customHeight="1">
      <c r="A541" s="3" t="s">
        <v>572</v>
      </c>
      <c r="B541" s="3" t="s">
        <v>3707</v>
      </c>
      <c r="C541" s="3" t="s">
        <v>1465</v>
      </c>
      <c r="D541" s="3" t="s">
        <v>3708</v>
      </c>
      <c r="E541" s="8">
        <v>1289</v>
      </c>
      <c r="F541" s="3" t="s">
        <v>1362</v>
      </c>
      <c r="G541" s="3" t="s">
        <v>1664</v>
      </c>
      <c r="H541" s="3" t="s">
        <v>3709</v>
      </c>
    </row>
    <row r="542" spans="1:8" ht="30" customHeight="1">
      <c r="A542" s="4" t="s">
        <v>572</v>
      </c>
      <c r="B542" s="4" t="s">
        <v>3710</v>
      </c>
      <c r="C542" s="4" t="s">
        <v>1465</v>
      </c>
      <c r="D542" s="4" t="s">
        <v>3711</v>
      </c>
      <c r="E542" s="9">
        <v>1238</v>
      </c>
      <c r="F542" s="4" t="s">
        <v>3001</v>
      </c>
      <c r="G542" s="4" t="s">
        <v>1664</v>
      </c>
      <c r="H542" s="4" t="s">
        <v>3712</v>
      </c>
    </row>
    <row r="543" spans="1:8" ht="48" customHeight="1">
      <c r="A543" s="3" t="s">
        <v>572</v>
      </c>
      <c r="B543" s="3" t="s">
        <v>3713</v>
      </c>
      <c r="C543" s="3" t="s">
        <v>1465</v>
      </c>
      <c r="D543" s="3" t="s">
        <v>3714</v>
      </c>
      <c r="E543" s="8">
        <v>1224</v>
      </c>
      <c r="F543" s="3" t="s">
        <v>1370</v>
      </c>
      <c r="G543" s="3" t="s">
        <v>1642</v>
      </c>
      <c r="H543" s="3" t="s">
        <v>3678</v>
      </c>
    </row>
    <row r="544" spans="1:8" ht="48" customHeight="1">
      <c r="A544" s="4" t="s">
        <v>572</v>
      </c>
      <c r="B544" s="4" t="s">
        <v>3715</v>
      </c>
      <c r="C544" s="4" t="s">
        <v>1465</v>
      </c>
      <c r="D544" s="4" t="s">
        <v>3716</v>
      </c>
      <c r="E544" s="9">
        <v>1166</v>
      </c>
      <c r="F544" s="4" t="s">
        <v>1376</v>
      </c>
      <c r="G544" s="4" t="s">
        <v>1642</v>
      </c>
      <c r="H544" s="4" t="s">
        <v>3717</v>
      </c>
    </row>
    <row r="545" spans="1:8" ht="30" customHeight="1">
      <c r="A545" s="3" t="s">
        <v>572</v>
      </c>
      <c r="B545" s="3" t="s">
        <v>3718</v>
      </c>
      <c r="C545" s="3" t="s">
        <v>1465</v>
      </c>
      <c r="D545" s="3" t="s">
        <v>3719</v>
      </c>
      <c r="E545" s="8">
        <v>1145</v>
      </c>
      <c r="F545" s="3" t="s">
        <v>1380</v>
      </c>
      <c r="G545" s="3" t="s">
        <v>1642</v>
      </c>
      <c r="H545" s="3" t="s">
        <v>3720</v>
      </c>
    </row>
    <row r="546" spans="1:8" ht="48" customHeight="1">
      <c r="A546" s="4" t="s">
        <v>572</v>
      </c>
      <c r="B546" s="4" t="s">
        <v>3721</v>
      </c>
      <c r="C546" s="4" t="s">
        <v>1465</v>
      </c>
      <c r="D546" s="4" t="s">
        <v>3722</v>
      </c>
      <c r="E546" s="9">
        <v>1127</v>
      </c>
      <c r="F546" s="4" t="s">
        <v>1380</v>
      </c>
      <c r="G546" s="4" t="s">
        <v>1642</v>
      </c>
      <c r="H546" s="4" t="s">
        <v>3723</v>
      </c>
    </row>
    <row r="547" spans="1:8" ht="30" customHeight="1">
      <c r="A547" s="3" t="s">
        <v>572</v>
      </c>
      <c r="B547" s="3" t="s">
        <v>3724</v>
      </c>
      <c r="C547" s="3" t="s">
        <v>1465</v>
      </c>
      <c r="D547" s="3" t="s">
        <v>3725</v>
      </c>
      <c r="E547" s="8">
        <v>1051</v>
      </c>
      <c r="F547" s="3" t="s">
        <v>1394</v>
      </c>
      <c r="G547" s="3" t="s">
        <v>1664</v>
      </c>
      <c r="H547" s="3" t="s">
        <v>3726</v>
      </c>
    </row>
    <row r="548" spans="1:8" ht="48" customHeight="1">
      <c r="A548" s="4" t="s">
        <v>572</v>
      </c>
      <c r="B548" s="4" t="s">
        <v>3727</v>
      </c>
      <c r="C548" s="4" t="s">
        <v>1465</v>
      </c>
      <c r="D548" s="4" t="s">
        <v>3728</v>
      </c>
      <c r="E548" s="9">
        <v>1051</v>
      </c>
      <c r="F548" s="4" t="s">
        <v>1394</v>
      </c>
      <c r="G548" s="4" t="s">
        <v>1664</v>
      </c>
      <c r="H548" s="4" t="s">
        <v>3729</v>
      </c>
    </row>
    <row r="549" spans="1:8" ht="48" customHeight="1">
      <c r="A549" s="3" t="s">
        <v>572</v>
      </c>
      <c r="B549" s="3" t="s">
        <v>3730</v>
      </c>
      <c r="C549" s="3" t="s">
        <v>1465</v>
      </c>
      <c r="D549" s="3" t="s">
        <v>3731</v>
      </c>
      <c r="E549" s="8">
        <v>1051</v>
      </c>
      <c r="F549" s="3" t="s">
        <v>1394</v>
      </c>
      <c r="G549" s="3" t="s">
        <v>1664</v>
      </c>
      <c r="H549" s="3" t="s">
        <v>3732</v>
      </c>
    </row>
    <row r="550" spans="1:8" ht="30" customHeight="1">
      <c r="A550" s="4" t="s">
        <v>572</v>
      </c>
      <c r="B550" s="4" t="s">
        <v>3733</v>
      </c>
      <c r="C550" s="4" t="s">
        <v>1465</v>
      </c>
      <c r="D550" s="4" t="s">
        <v>3734</v>
      </c>
      <c r="E550" s="9">
        <v>1051</v>
      </c>
      <c r="F550" s="4" t="s">
        <v>1394</v>
      </c>
      <c r="G550" s="4" t="s">
        <v>1664</v>
      </c>
      <c r="H550" s="4" t="s">
        <v>3735</v>
      </c>
    </row>
    <row r="551" spans="1:8" ht="30" customHeight="1">
      <c r="A551" s="3" t="s">
        <v>572</v>
      </c>
      <c r="B551" s="3" t="s">
        <v>3736</v>
      </c>
      <c r="C551" s="3" t="s">
        <v>1465</v>
      </c>
      <c r="D551" s="3" t="s">
        <v>3737</v>
      </c>
      <c r="E551" s="8">
        <v>1051</v>
      </c>
      <c r="F551" s="3" t="s">
        <v>1394</v>
      </c>
      <c r="G551" s="3" t="s">
        <v>1664</v>
      </c>
      <c r="H551" s="3" t="s">
        <v>3738</v>
      </c>
    </row>
    <row r="552" spans="1:8" ht="30" customHeight="1">
      <c r="A552" s="4" t="s">
        <v>572</v>
      </c>
      <c r="B552" s="4" t="s">
        <v>3739</v>
      </c>
      <c r="C552" s="4" t="s">
        <v>1465</v>
      </c>
      <c r="D552" s="4" t="s">
        <v>3740</v>
      </c>
      <c r="E552" s="9">
        <v>1051</v>
      </c>
      <c r="F552" s="4" t="s">
        <v>1394</v>
      </c>
      <c r="G552" s="4" t="s">
        <v>1664</v>
      </c>
      <c r="H552" s="4" t="s">
        <v>3741</v>
      </c>
    </row>
    <row r="553" spans="1:8" ht="30" customHeight="1">
      <c r="A553" s="3" t="s">
        <v>572</v>
      </c>
      <c r="B553" s="3" t="s">
        <v>3624</v>
      </c>
      <c r="C553" s="3" t="s">
        <v>1465</v>
      </c>
      <c r="D553" s="3" t="s">
        <v>3625</v>
      </c>
      <c r="E553" s="8">
        <v>1051</v>
      </c>
      <c r="F553" s="3" t="s">
        <v>1394</v>
      </c>
      <c r="G553" s="3" t="s">
        <v>1664</v>
      </c>
      <c r="H553" s="3" t="s">
        <v>3742</v>
      </c>
    </row>
    <row r="554" spans="1:8" ht="30" customHeight="1">
      <c r="A554" s="4" t="s">
        <v>572</v>
      </c>
      <c r="B554" s="4" t="s">
        <v>3743</v>
      </c>
      <c r="C554" s="4" t="s">
        <v>1465</v>
      </c>
      <c r="D554" s="4" t="s">
        <v>3744</v>
      </c>
      <c r="E554" s="9">
        <v>1050</v>
      </c>
      <c r="F554" s="4" t="s">
        <v>1394</v>
      </c>
      <c r="G554" s="4" t="s">
        <v>1664</v>
      </c>
      <c r="H554" s="4" t="s">
        <v>3745</v>
      </c>
    </row>
    <row r="555" spans="1:8" ht="30" customHeight="1">
      <c r="A555" s="3" t="s">
        <v>572</v>
      </c>
      <c r="B555" s="3" t="s">
        <v>1737</v>
      </c>
      <c r="C555" s="3" t="s">
        <v>1465</v>
      </c>
      <c r="D555" s="3" t="s">
        <v>1738</v>
      </c>
      <c r="E555" s="8">
        <v>1050</v>
      </c>
      <c r="F555" s="3" t="s">
        <v>1394</v>
      </c>
      <c r="G555" s="3" t="s">
        <v>1664</v>
      </c>
      <c r="H555" s="3" t="s">
        <v>3746</v>
      </c>
    </row>
    <row r="556" spans="1:8" ht="30" customHeight="1">
      <c r="A556" s="4" t="s">
        <v>572</v>
      </c>
      <c r="B556" s="4" t="s">
        <v>3747</v>
      </c>
      <c r="C556" s="4" t="s">
        <v>1465</v>
      </c>
      <c r="D556" s="4" t="s">
        <v>3748</v>
      </c>
      <c r="E556" s="9">
        <v>1050</v>
      </c>
      <c r="F556" s="4" t="s">
        <v>1394</v>
      </c>
      <c r="G556" s="4" t="s">
        <v>1664</v>
      </c>
      <c r="H556" s="4" t="s">
        <v>3738</v>
      </c>
    </row>
    <row r="557" spans="1:8" ht="30" customHeight="1">
      <c r="A557" s="3" t="s">
        <v>572</v>
      </c>
      <c r="B557" s="3" t="s">
        <v>3749</v>
      </c>
      <c r="C557" s="3" t="s">
        <v>1465</v>
      </c>
      <c r="D557" s="3" t="s">
        <v>3750</v>
      </c>
      <c r="E557" s="8">
        <v>1049</v>
      </c>
      <c r="F557" s="3" t="s">
        <v>1394</v>
      </c>
      <c r="G557" s="3" t="s">
        <v>1664</v>
      </c>
      <c r="H557" s="3" t="s">
        <v>3751</v>
      </c>
    </row>
    <row r="558" spans="1:8" ht="30" customHeight="1">
      <c r="A558" s="4" t="s">
        <v>572</v>
      </c>
      <c r="B558" s="4" t="s">
        <v>3752</v>
      </c>
      <c r="C558" s="4" t="s">
        <v>1465</v>
      </c>
      <c r="D558" s="4" t="s">
        <v>3753</v>
      </c>
      <c r="E558" s="9">
        <v>1044</v>
      </c>
      <c r="F558" s="4" t="s">
        <v>1394</v>
      </c>
      <c r="G558" s="4" t="s">
        <v>1664</v>
      </c>
      <c r="H558" s="4" t="s">
        <v>3754</v>
      </c>
    </row>
    <row r="559" spans="1:8" ht="30" customHeight="1">
      <c r="A559" s="3" t="s">
        <v>572</v>
      </c>
      <c r="B559" s="3" t="s">
        <v>3755</v>
      </c>
      <c r="C559" s="3" t="s">
        <v>1465</v>
      </c>
      <c r="D559" s="3" t="s">
        <v>3756</v>
      </c>
      <c r="E559" s="8">
        <v>1042</v>
      </c>
      <c r="F559" s="3" t="s">
        <v>1394</v>
      </c>
      <c r="G559" s="3" t="s">
        <v>1664</v>
      </c>
      <c r="H559" s="3" t="s">
        <v>3757</v>
      </c>
    </row>
    <row r="560" spans="1:8" ht="30" customHeight="1">
      <c r="A560" s="4" t="s">
        <v>572</v>
      </c>
      <c r="B560" s="4" t="s">
        <v>3758</v>
      </c>
      <c r="C560" s="4" t="s">
        <v>1465</v>
      </c>
      <c r="D560" s="4" t="s">
        <v>3759</v>
      </c>
      <c r="E560" s="9">
        <v>1039</v>
      </c>
      <c r="F560" s="4" t="s">
        <v>1394</v>
      </c>
      <c r="G560" s="4" t="s">
        <v>1664</v>
      </c>
      <c r="H560" s="4" t="s">
        <v>3760</v>
      </c>
    </row>
    <row r="561" spans="1:8" ht="30" customHeight="1">
      <c r="A561" s="3" t="s">
        <v>572</v>
      </c>
      <c r="B561" s="3" t="s">
        <v>3761</v>
      </c>
      <c r="C561" s="3" t="s">
        <v>1465</v>
      </c>
      <c r="D561" s="3" t="s">
        <v>3762</v>
      </c>
      <c r="E561" s="8">
        <v>1034</v>
      </c>
      <c r="F561" s="3" t="s">
        <v>1394</v>
      </c>
      <c r="G561" s="3" t="s">
        <v>1664</v>
      </c>
      <c r="H561" s="3" t="s">
        <v>3763</v>
      </c>
    </row>
    <row r="562" spans="1:8" ht="48" customHeight="1">
      <c r="A562" s="4" t="s">
        <v>572</v>
      </c>
      <c r="B562" s="4" t="s">
        <v>3764</v>
      </c>
      <c r="C562" s="4" t="s">
        <v>1465</v>
      </c>
      <c r="D562" s="4" t="s">
        <v>3765</v>
      </c>
      <c r="E562" s="9">
        <v>1019</v>
      </c>
      <c r="F562" s="4" t="s">
        <v>1396</v>
      </c>
      <c r="G562" s="4" t="s">
        <v>1642</v>
      </c>
      <c r="H562" s="4" t="s">
        <v>3754</v>
      </c>
    </row>
    <row r="563" spans="1:8" ht="48" customHeight="1">
      <c r="A563" s="3" t="s">
        <v>572</v>
      </c>
      <c r="B563" s="3" t="s">
        <v>3766</v>
      </c>
      <c r="C563" s="3" t="s">
        <v>1465</v>
      </c>
      <c r="D563" s="3" t="s">
        <v>3767</v>
      </c>
      <c r="E563" s="8">
        <v>1019</v>
      </c>
      <c r="F563" s="3" t="s">
        <v>1396</v>
      </c>
      <c r="G563" s="3" t="s">
        <v>1642</v>
      </c>
      <c r="H563" s="3" t="s">
        <v>3768</v>
      </c>
    </row>
    <row r="564" spans="1:8" ht="48" customHeight="1">
      <c r="A564" s="4" t="s">
        <v>572</v>
      </c>
      <c r="B564" s="4" t="s">
        <v>3769</v>
      </c>
      <c r="C564" s="4" t="s">
        <v>1465</v>
      </c>
      <c r="D564" s="4" t="s">
        <v>3770</v>
      </c>
      <c r="E564" s="9">
        <v>1016</v>
      </c>
      <c r="F564" s="4" t="s">
        <v>1396</v>
      </c>
      <c r="G564" s="4" t="s">
        <v>1642</v>
      </c>
      <c r="H564" s="4" t="s">
        <v>3771</v>
      </c>
    </row>
    <row r="565" spans="1:8" ht="48" customHeight="1">
      <c r="A565" s="3" t="s">
        <v>572</v>
      </c>
      <c r="B565" s="3" t="s">
        <v>3772</v>
      </c>
      <c r="C565" s="3" t="s">
        <v>1465</v>
      </c>
      <c r="D565" s="3" t="s">
        <v>3773</v>
      </c>
      <c r="E565" s="8">
        <v>1014</v>
      </c>
      <c r="F565" s="3" t="s">
        <v>1394</v>
      </c>
      <c r="G565" s="3" t="s">
        <v>1664</v>
      </c>
      <c r="H565" s="3" t="s">
        <v>3774</v>
      </c>
    </row>
    <row r="566" spans="1:8" ht="30" customHeight="1">
      <c r="A566" s="4" t="s">
        <v>572</v>
      </c>
      <c r="B566" s="4" t="s">
        <v>3775</v>
      </c>
      <c r="C566" s="4" t="s">
        <v>1465</v>
      </c>
      <c r="D566" s="4" t="s">
        <v>3776</v>
      </c>
      <c r="E566" s="9">
        <v>1006</v>
      </c>
      <c r="F566" s="4" t="s">
        <v>1394</v>
      </c>
      <c r="G566" s="4" t="s">
        <v>1664</v>
      </c>
      <c r="H566" s="4" t="s">
        <v>3777</v>
      </c>
    </row>
    <row r="567" spans="1:8" ht="30" customHeight="1">
      <c r="A567" s="3" t="s">
        <v>572</v>
      </c>
      <c r="B567" s="3" t="s">
        <v>3778</v>
      </c>
      <c r="C567" s="3" t="s">
        <v>1465</v>
      </c>
      <c r="D567" s="3" t="s">
        <v>3779</v>
      </c>
      <c r="E567" s="8">
        <v>1004</v>
      </c>
      <c r="F567" s="3" t="s">
        <v>1396</v>
      </c>
      <c r="G567" s="3" t="s">
        <v>1642</v>
      </c>
      <c r="H567" s="3" t="s">
        <v>3780</v>
      </c>
    </row>
    <row r="568" spans="1:8" ht="48" customHeight="1">
      <c r="A568" s="4" t="s">
        <v>2416</v>
      </c>
      <c r="B568" s="4" t="s">
        <v>2418</v>
      </c>
      <c r="C568" s="4" t="s">
        <v>1465</v>
      </c>
      <c r="D568" s="4" t="s">
        <v>2419</v>
      </c>
      <c r="E568" s="9">
        <v>1396</v>
      </c>
      <c r="F568" s="4" t="s">
        <v>1796</v>
      </c>
      <c r="G568" s="4" t="s">
        <v>1664</v>
      </c>
      <c r="H568" s="4" t="s">
        <v>3781</v>
      </c>
    </row>
    <row r="569" spans="1:8" ht="30" customHeight="1">
      <c r="A569" s="3" t="s">
        <v>2306</v>
      </c>
      <c r="B569" s="3" t="s">
        <v>2308</v>
      </c>
      <c r="C569" s="3" t="s">
        <v>1465</v>
      </c>
      <c r="D569" s="3" t="s">
        <v>2309</v>
      </c>
      <c r="E569" s="8">
        <v>2217</v>
      </c>
      <c r="F569" s="3" t="s">
        <v>2310</v>
      </c>
      <c r="G569" s="3" t="s">
        <v>1642</v>
      </c>
      <c r="H569" s="3" t="s">
        <v>3782</v>
      </c>
    </row>
    <row r="570" spans="1:8" ht="30" customHeight="1">
      <c r="A570" s="4" t="s">
        <v>2306</v>
      </c>
      <c r="B570" s="4" t="s">
        <v>3783</v>
      </c>
      <c r="C570" s="4" t="s">
        <v>1465</v>
      </c>
      <c r="D570" s="4" t="s">
        <v>3784</v>
      </c>
      <c r="E570" s="9">
        <v>1199</v>
      </c>
      <c r="F570" s="4" t="s">
        <v>1380</v>
      </c>
      <c r="G570" s="4" t="s">
        <v>1642</v>
      </c>
      <c r="H570" s="4" t="s">
        <v>3785</v>
      </c>
    </row>
    <row r="571" spans="1:8" ht="48" customHeight="1">
      <c r="A571" s="3" t="s">
        <v>2436</v>
      </c>
      <c r="B571" s="3" t="s">
        <v>2438</v>
      </c>
      <c r="C571" s="3" t="s">
        <v>1465</v>
      </c>
      <c r="D571" s="3" t="s">
        <v>2439</v>
      </c>
      <c r="E571" s="8">
        <v>1220</v>
      </c>
      <c r="F571" s="3" t="s">
        <v>1370</v>
      </c>
      <c r="G571" s="3" t="s">
        <v>1642</v>
      </c>
      <c r="H571" s="3" t="s">
        <v>3786</v>
      </c>
    </row>
    <row r="572" spans="1:8" ht="30" customHeight="1">
      <c r="A572" s="4" t="s">
        <v>2482</v>
      </c>
      <c r="B572" s="4" t="s">
        <v>2484</v>
      </c>
      <c r="C572" s="4" t="s">
        <v>1465</v>
      </c>
      <c r="D572" s="4" t="s">
        <v>2485</v>
      </c>
      <c r="E572" s="9">
        <v>1196</v>
      </c>
      <c r="F572" s="4" t="s">
        <v>1380</v>
      </c>
      <c r="G572" s="4" t="s">
        <v>1642</v>
      </c>
      <c r="H572" s="4" t="s">
        <v>3787</v>
      </c>
    </row>
    <row r="573" spans="1:8" ht="48" customHeight="1">
      <c r="A573" s="3" t="s">
        <v>685</v>
      </c>
      <c r="B573" s="3" t="s">
        <v>1958</v>
      </c>
      <c r="C573" s="3" t="s">
        <v>1643</v>
      </c>
      <c r="D573" s="3" t="s">
        <v>1959</v>
      </c>
      <c r="E573" s="8">
        <v>1211</v>
      </c>
      <c r="F573" s="3" t="s">
        <v>1376</v>
      </c>
      <c r="G573" s="3" t="s">
        <v>1642</v>
      </c>
      <c r="H573" s="3" t="s">
        <v>3788</v>
      </c>
    </row>
    <row r="574" spans="1:8" ht="48" customHeight="1">
      <c r="A574" s="4" t="s">
        <v>2472</v>
      </c>
      <c r="B574" s="4" t="s">
        <v>2026</v>
      </c>
      <c r="C574" s="4" t="s">
        <v>1465</v>
      </c>
      <c r="D574" s="4" t="s">
        <v>2474</v>
      </c>
      <c r="E574" s="9">
        <v>1201</v>
      </c>
      <c r="F574" s="4" t="s">
        <v>1380</v>
      </c>
      <c r="G574" s="4" t="s">
        <v>1642</v>
      </c>
      <c r="H574" s="4" t="s">
        <v>3789</v>
      </c>
    </row>
    <row r="575" spans="1:8" ht="48" customHeight="1">
      <c r="A575" s="3" t="s">
        <v>2280</v>
      </c>
      <c r="B575" s="3" t="s">
        <v>2095</v>
      </c>
      <c r="C575" s="3" t="s">
        <v>1465</v>
      </c>
      <c r="D575" s="3" t="s">
        <v>2096</v>
      </c>
      <c r="E575" s="8">
        <v>4528</v>
      </c>
      <c r="F575" s="3" t="s">
        <v>2091</v>
      </c>
      <c r="G575" s="3" t="s">
        <v>1664</v>
      </c>
      <c r="H575" s="3" t="s">
        <v>3790</v>
      </c>
    </row>
    <row r="576" spans="1:8" ht="48" customHeight="1">
      <c r="A576" s="4" t="s">
        <v>2280</v>
      </c>
      <c r="B576" s="4" t="s">
        <v>608</v>
      </c>
      <c r="C576" s="4" t="s">
        <v>1465</v>
      </c>
      <c r="D576" s="4" t="s">
        <v>1888</v>
      </c>
      <c r="E576" s="9">
        <v>2535</v>
      </c>
      <c r="F576" s="4" t="s">
        <v>1684</v>
      </c>
      <c r="G576" s="4" t="s">
        <v>1642</v>
      </c>
      <c r="H576" s="4" t="s">
        <v>3791</v>
      </c>
    </row>
    <row r="577" spans="1:8" ht="30" customHeight="1">
      <c r="A577" s="3" t="s">
        <v>2390</v>
      </c>
      <c r="B577" s="3" t="s">
        <v>2392</v>
      </c>
      <c r="C577" s="3" t="s">
        <v>1465</v>
      </c>
      <c r="D577" s="3" t="s">
        <v>2393</v>
      </c>
      <c r="E577" s="8">
        <v>1427</v>
      </c>
      <c r="F577" s="3" t="s">
        <v>1356</v>
      </c>
      <c r="G577" s="3" t="s">
        <v>1664</v>
      </c>
      <c r="H577" s="3" t="s">
        <v>3792</v>
      </c>
    </row>
    <row r="578" spans="1:8" ht="30" customHeight="1">
      <c r="A578" s="4" t="s">
        <v>2390</v>
      </c>
      <c r="B578" s="4" t="s">
        <v>3793</v>
      </c>
      <c r="C578" s="4" t="s">
        <v>1465</v>
      </c>
      <c r="D578" s="4" t="s">
        <v>3794</v>
      </c>
      <c r="E578" s="9">
        <v>1371</v>
      </c>
      <c r="F578" s="4" t="s">
        <v>1356</v>
      </c>
      <c r="G578" s="4" t="s">
        <v>1664</v>
      </c>
      <c r="H578" s="4" t="s">
        <v>3795</v>
      </c>
    </row>
    <row r="579" spans="1:8" ht="30" customHeight="1">
      <c r="A579" s="3" t="s">
        <v>2390</v>
      </c>
      <c r="B579" s="3" t="s">
        <v>3796</v>
      </c>
      <c r="C579" s="3" t="s">
        <v>1465</v>
      </c>
      <c r="D579" s="3" t="s">
        <v>3797</v>
      </c>
      <c r="E579" s="8">
        <v>1329</v>
      </c>
      <c r="F579" s="3" t="s">
        <v>1693</v>
      </c>
      <c r="G579" s="3" t="s">
        <v>1664</v>
      </c>
      <c r="H579" s="3" t="s">
        <v>3798</v>
      </c>
    </row>
    <row r="580" spans="1:8" ht="84" customHeight="1">
      <c r="A580" s="4" t="s">
        <v>560</v>
      </c>
      <c r="B580" s="4" t="s">
        <v>1644</v>
      </c>
      <c r="C580" s="4" t="s">
        <v>1643</v>
      </c>
      <c r="D580" s="4" t="s">
        <v>1645</v>
      </c>
      <c r="E580" s="9">
        <v>21959</v>
      </c>
      <c r="F580" s="4" t="s">
        <v>1641</v>
      </c>
      <c r="G580" s="4" t="s">
        <v>1642</v>
      </c>
      <c r="H580" s="4" t="s">
        <v>3799</v>
      </c>
    </row>
    <row r="581" spans="1:8" ht="84" customHeight="1">
      <c r="A581" s="3" t="s">
        <v>560</v>
      </c>
      <c r="B581" s="3" t="s">
        <v>1646</v>
      </c>
      <c r="C581" s="3" t="s">
        <v>1643</v>
      </c>
      <c r="D581" s="3" t="s">
        <v>1647</v>
      </c>
      <c r="E581" s="8">
        <v>12910</v>
      </c>
      <c r="F581" s="3" t="s">
        <v>1641</v>
      </c>
      <c r="G581" s="3" t="s">
        <v>1642</v>
      </c>
      <c r="H581" s="3" t="s">
        <v>3800</v>
      </c>
    </row>
    <row r="582" spans="1:8" ht="30" customHeight="1">
      <c r="A582" s="4" t="s">
        <v>560</v>
      </c>
      <c r="B582" s="4" t="s">
        <v>3801</v>
      </c>
      <c r="C582" s="4" t="s">
        <v>1643</v>
      </c>
      <c r="D582" s="4" t="s">
        <v>3802</v>
      </c>
      <c r="E582" s="9">
        <v>2537</v>
      </c>
      <c r="F582" s="4" t="s">
        <v>1684</v>
      </c>
      <c r="G582" s="4" t="s">
        <v>1642</v>
      </c>
      <c r="H582" s="4" t="s">
        <v>3802</v>
      </c>
    </row>
    <row r="583" spans="1:8" ht="30" customHeight="1">
      <c r="A583" s="3" t="s">
        <v>560</v>
      </c>
      <c r="B583" s="3" t="s">
        <v>3803</v>
      </c>
      <c r="C583" s="3" t="s">
        <v>1643</v>
      </c>
      <c r="D583" s="3" t="s">
        <v>3804</v>
      </c>
      <c r="E583" s="8">
        <v>2520</v>
      </c>
      <c r="F583" s="3" t="s">
        <v>1684</v>
      </c>
      <c r="G583" s="3" t="s">
        <v>1642</v>
      </c>
      <c r="H583" s="3" t="s">
        <v>3805</v>
      </c>
    </row>
    <row r="584" spans="1:8" ht="30" customHeight="1">
      <c r="A584" s="4" t="s">
        <v>560</v>
      </c>
      <c r="B584" s="4" t="s">
        <v>658</v>
      </c>
      <c r="C584" s="4" t="s">
        <v>1643</v>
      </c>
      <c r="D584" s="4" t="s">
        <v>1896</v>
      </c>
      <c r="E584" s="9">
        <v>2391</v>
      </c>
      <c r="F584" s="4" t="s">
        <v>1684</v>
      </c>
      <c r="G584" s="4" t="s">
        <v>1642</v>
      </c>
      <c r="H584" s="4" t="s">
        <v>3806</v>
      </c>
    </row>
    <row r="585" spans="1:8" ht="30" customHeight="1">
      <c r="A585" s="3" t="s">
        <v>560</v>
      </c>
      <c r="B585" s="3" t="s">
        <v>3807</v>
      </c>
      <c r="C585" s="3" t="s">
        <v>1643</v>
      </c>
      <c r="D585" s="3" t="s">
        <v>3808</v>
      </c>
      <c r="E585" s="8">
        <v>2222</v>
      </c>
      <c r="F585" s="3" t="s">
        <v>1684</v>
      </c>
      <c r="G585" s="3" t="s">
        <v>1642</v>
      </c>
      <c r="H585" s="3" t="s">
        <v>3808</v>
      </c>
    </row>
    <row r="586" spans="1:8" ht="30" customHeight="1">
      <c r="A586" s="4" t="s">
        <v>560</v>
      </c>
      <c r="B586" s="4" t="s">
        <v>3809</v>
      </c>
      <c r="C586" s="4" t="s">
        <v>1643</v>
      </c>
      <c r="D586" s="4" t="s">
        <v>3810</v>
      </c>
      <c r="E586" s="9">
        <v>1455</v>
      </c>
      <c r="F586" s="4" t="s">
        <v>1684</v>
      </c>
      <c r="G586" s="4" t="s">
        <v>1642</v>
      </c>
      <c r="H586" s="4" t="s">
        <v>3811</v>
      </c>
    </row>
    <row r="587" spans="1:8" ht="30" customHeight="1">
      <c r="A587" s="3" t="s">
        <v>560</v>
      </c>
      <c r="B587" s="3" t="s">
        <v>1951</v>
      </c>
      <c r="C587" s="3" t="s">
        <v>1643</v>
      </c>
      <c r="D587" s="3" t="s">
        <v>1952</v>
      </c>
      <c r="E587" s="8">
        <v>1294</v>
      </c>
      <c r="F587" s="3" t="s">
        <v>1362</v>
      </c>
      <c r="G587" s="3" t="s">
        <v>1664</v>
      </c>
      <c r="H587" s="3" t="s">
        <v>3812</v>
      </c>
    </row>
    <row r="588" spans="1:8" ht="30" customHeight="1">
      <c r="A588" s="4" t="s">
        <v>560</v>
      </c>
      <c r="B588" s="4" t="s">
        <v>3813</v>
      </c>
      <c r="C588" s="4" t="s">
        <v>1465</v>
      </c>
      <c r="D588" s="4" t="s">
        <v>3814</v>
      </c>
      <c r="E588" s="9">
        <v>3711</v>
      </c>
      <c r="F588" s="4" t="s">
        <v>3815</v>
      </c>
      <c r="G588" s="4" t="s">
        <v>1642</v>
      </c>
      <c r="H588" s="4" t="s">
        <v>3816</v>
      </c>
    </row>
    <row r="589" spans="1:8" ht="30" customHeight="1">
      <c r="A589" s="3" t="s">
        <v>560</v>
      </c>
      <c r="B589" s="3" t="s">
        <v>3817</v>
      </c>
      <c r="C589" s="3" t="s">
        <v>1465</v>
      </c>
      <c r="D589" s="3" t="s">
        <v>3818</v>
      </c>
      <c r="E589" s="8">
        <v>2671</v>
      </c>
      <c r="F589" s="3" t="s">
        <v>2923</v>
      </c>
      <c r="G589" s="3" t="s">
        <v>1664</v>
      </c>
      <c r="H589" s="3" t="s">
        <v>3819</v>
      </c>
    </row>
    <row r="590" spans="1:8" ht="30" customHeight="1">
      <c r="A590" s="4" t="s">
        <v>560</v>
      </c>
      <c r="B590" s="4" t="s">
        <v>3820</v>
      </c>
      <c r="C590" s="4" t="s">
        <v>1465</v>
      </c>
      <c r="D590" s="4" t="s">
        <v>3821</v>
      </c>
      <c r="E590" s="9">
        <v>2618</v>
      </c>
      <c r="F590" s="4" t="s">
        <v>1690</v>
      </c>
      <c r="G590" s="4" t="s">
        <v>1642</v>
      </c>
      <c r="H590" s="4" t="s">
        <v>3822</v>
      </c>
    </row>
    <row r="591" spans="1:8" ht="30" customHeight="1">
      <c r="A591" s="3" t="s">
        <v>560</v>
      </c>
      <c r="B591" s="3" t="s">
        <v>3823</v>
      </c>
      <c r="C591" s="3" t="s">
        <v>1465</v>
      </c>
      <c r="D591" s="3" t="s">
        <v>3824</v>
      </c>
      <c r="E591" s="8">
        <v>2537</v>
      </c>
      <c r="F591" s="3" t="s">
        <v>1684</v>
      </c>
      <c r="G591" s="3" t="s">
        <v>1642</v>
      </c>
      <c r="H591" s="3" t="s">
        <v>3825</v>
      </c>
    </row>
    <row r="592" spans="1:8" ht="30" customHeight="1">
      <c r="A592" s="4" t="s">
        <v>560</v>
      </c>
      <c r="B592" s="4" t="s">
        <v>3826</v>
      </c>
      <c r="C592" s="4" t="s">
        <v>1465</v>
      </c>
      <c r="D592" s="4" t="s">
        <v>3827</v>
      </c>
      <c r="E592" s="9">
        <v>2532</v>
      </c>
      <c r="F592" s="4" t="s">
        <v>1684</v>
      </c>
      <c r="G592" s="4" t="s">
        <v>1642</v>
      </c>
      <c r="H592" s="4" t="s">
        <v>3828</v>
      </c>
    </row>
    <row r="593" spans="1:8" ht="30" customHeight="1">
      <c r="A593" s="3" t="s">
        <v>560</v>
      </c>
      <c r="B593" s="3" t="s">
        <v>3829</v>
      </c>
      <c r="C593" s="3" t="s">
        <v>1465</v>
      </c>
      <c r="D593" s="3" t="s">
        <v>3830</v>
      </c>
      <c r="E593" s="8">
        <v>2517</v>
      </c>
      <c r="F593" s="3" t="s">
        <v>1684</v>
      </c>
      <c r="G593" s="3" t="s">
        <v>1642</v>
      </c>
      <c r="H593" s="3" t="s">
        <v>3831</v>
      </c>
    </row>
    <row r="594" spans="1:8" ht="30" customHeight="1">
      <c r="A594" s="4" t="s">
        <v>560</v>
      </c>
      <c r="B594" s="4" t="s">
        <v>3832</v>
      </c>
      <c r="C594" s="4" t="s">
        <v>1465</v>
      </c>
      <c r="D594" s="4" t="s">
        <v>3833</v>
      </c>
      <c r="E594" s="9">
        <v>2516</v>
      </c>
      <c r="F594" s="4" t="s">
        <v>1684</v>
      </c>
      <c r="G594" s="4" t="s">
        <v>1642</v>
      </c>
      <c r="H594" s="4" t="s">
        <v>3834</v>
      </c>
    </row>
    <row r="595" spans="1:8" ht="30" customHeight="1">
      <c r="A595" s="3" t="s">
        <v>560</v>
      </c>
      <c r="B595" s="3" t="s">
        <v>3835</v>
      </c>
      <c r="C595" s="3" t="s">
        <v>1465</v>
      </c>
      <c r="D595" s="3" t="s">
        <v>3836</v>
      </c>
      <c r="E595" s="8">
        <v>2516</v>
      </c>
      <c r="F595" s="3" t="s">
        <v>1684</v>
      </c>
      <c r="G595" s="3" t="s">
        <v>1642</v>
      </c>
      <c r="H595" s="3" t="s">
        <v>3837</v>
      </c>
    </row>
    <row r="596" spans="1:8" ht="30" customHeight="1">
      <c r="A596" s="4" t="s">
        <v>560</v>
      </c>
      <c r="B596" s="4" t="s">
        <v>3838</v>
      </c>
      <c r="C596" s="4" t="s">
        <v>1465</v>
      </c>
      <c r="D596" s="4" t="s">
        <v>3839</v>
      </c>
      <c r="E596" s="9">
        <v>2513</v>
      </c>
      <c r="F596" s="4" t="s">
        <v>1684</v>
      </c>
      <c r="G596" s="4" t="s">
        <v>1642</v>
      </c>
      <c r="H596" s="4" t="s">
        <v>3840</v>
      </c>
    </row>
    <row r="597" spans="1:8" ht="30" customHeight="1">
      <c r="A597" s="3" t="s">
        <v>560</v>
      </c>
      <c r="B597" s="3" t="s">
        <v>3841</v>
      </c>
      <c r="C597" s="3" t="s">
        <v>1465</v>
      </c>
      <c r="D597" s="3" t="s">
        <v>3842</v>
      </c>
      <c r="E597" s="8">
        <v>2512</v>
      </c>
      <c r="F597" s="3" t="s">
        <v>1684</v>
      </c>
      <c r="G597" s="3" t="s">
        <v>1642</v>
      </c>
      <c r="H597" s="3" t="s">
        <v>3843</v>
      </c>
    </row>
    <row r="598" spans="1:8" ht="30" customHeight="1">
      <c r="A598" s="4" t="s">
        <v>560</v>
      </c>
      <c r="B598" s="4" t="s">
        <v>3844</v>
      </c>
      <c r="C598" s="4" t="s">
        <v>1465</v>
      </c>
      <c r="D598" s="4" t="s">
        <v>3845</v>
      </c>
      <c r="E598" s="9">
        <v>2511</v>
      </c>
      <c r="F598" s="4" t="s">
        <v>1684</v>
      </c>
      <c r="G598" s="4" t="s">
        <v>1642</v>
      </c>
      <c r="H598" s="4" t="s">
        <v>3846</v>
      </c>
    </row>
    <row r="599" spans="1:8" ht="30" customHeight="1">
      <c r="A599" s="3" t="s">
        <v>560</v>
      </c>
      <c r="B599" s="3" t="s">
        <v>3847</v>
      </c>
      <c r="C599" s="3" t="s">
        <v>1465</v>
      </c>
      <c r="D599" s="3" t="s">
        <v>3848</v>
      </c>
      <c r="E599" s="8">
        <v>2511</v>
      </c>
      <c r="F599" s="3" t="s">
        <v>1684</v>
      </c>
      <c r="G599" s="3" t="s">
        <v>1642</v>
      </c>
      <c r="H599" s="3" t="s">
        <v>3849</v>
      </c>
    </row>
    <row r="600" spans="1:8" ht="30" customHeight="1">
      <c r="A600" s="4" t="s">
        <v>560</v>
      </c>
      <c r="B600" s="4" t="s">
        <v>3850</v>
      </c>
      <c r="C600" s="4" t="s">
        <v>1465</v>
      </c>
      <c r="D600" s="4" t="s">
        <v>3851</v>
      </c>
      <c r="E600" s="9">
        <v>2074</v>
      </c>
      <c r="F600" s="4" t="s">
        <v>1900</v>
      </c>
      <c r="G600" s="4" t="s">
        <v>1642</v>
      </c>
      <c r="H600" s="4" t="s">
        <v>3852</v>
      </c>
    </row>
    <row r="601" spans="1:8" ht="30" customHeight="1">
      <c r="A601" s="3" t="s">
        <v>560</v>
      </c>
      <c r="B601" s="3" t="s">
        <v>3853</v>
      </c>
      <c r="C601" s="3" t="s">
        <v>1465</v>
      </c>
      <c r="D601" s="3" t="s">
        <v>3854</v>
      </c>
      <c r="E601" s="8">
        <v>1491</v>
      </c>
      <c r="F601" s="3" t="s">
        <v>1354</v>
      </c>
      <c r="G601" s="3" t="s">
        <v>1664</v>
      </c>
      <c r="H601" s="3" t="s">
        <v>3855</v>
      </c>
    </row>
    <row r="602" spans="1:8" ht="30" customHeight="1">
      <c r="A602" s="4" t="s">
        <v>560</v>
      </c>
      <c r="B602" s="4" t="s">
        <v>3856</v>
      </c>
      <c r="C602" s="4" t="s">
        <v>1465</v>
      </c>
      <c r="D602" s="4" t="s">
        <v>3857</v>
      </c>
      <c r="E602" s="9">
        <v>1484</v>
      </c>
      <c r="F602" s="4" t="s">
        <v>1354</v>
      </c>
      <c r="G602" s="4" t="s">
        <v>1664</v>
      </c>
      <c r="H602" s="4" t="s">
        <v>3858</v>
      </c>
    </row>
    <row r="603" spans="1:8" ht="30" customHeight="1">
      <c r="A603" s="3" t="s">
        <v>560</v>
      </c>
      <c r="B603" s="3" t="s">
        <v>3859</v>
      </c>
      <c r="C603" s="3" t="s">
        <v>1465</v>
      </c>
      <c r="D603" s="3" t="s">
        <v>3860</v>
      </c>
      <c r="E603" s="8">
        <v>1429</v>
      </c>
      <c r="F603" s="3" t="s">
        <v>1356</v>
      </c>
      <c r="G603" s="3" t="s">
        <v>1664</v>
      </c>
      <c r="H603" s="3" t="s">
        <v>3861</v>
      </c>
    </row>
    <row r="604" spans="1:8" ht="48" customHeight="1">
      <c r="A604" s="4" t="s">
        <v>560</v>
      </c>
      <c r="B604" s="4" t="s">
        <v>3862</v>
      </c>
      <c r="C604" s="4" t="s">
        <v>1465</v>
      </c>
      <c r="D604" s="4" t="s">
        <v>3863</v>
      </c>
      <c r="E604" s="9">
        <v>1021</v>
      </c>
      <c r="F604" s="4" t="s">
        <v>1396</v>
      </c>
      <c r="G604" s="4" t="s">
        <v>1642</v>
      </c>
      <c r="H604" s="4" t="s">
        <v>3864</v>
      </c>
    </row>
    <row r="605" spans="1:8" ht="48" customHeight="1">
      <c r="A605" s="3" t="s">
        <v>560</v>
      </c>
      <c r="B605" s="3" t="s">
        <v>3865</v>
      </c>
      <c r="C605" s="3" t="s">
        <v>1465</v>
      </c>
      <c r="D605" s="3" t="s">
        <v>3866</v>
      </c>
      <c r="E605" s="8">
        <v>1021</v>
      </c>
      <c r="F605" s="3" t="s">
        <v>1396</v>
      </c>
      <c r="G605" s="3" t="s">
        <v>1642</v>
      </c>
      <c r="H605" s="3" t="s">
        <v>3867</v>
      </c>
    </row>
    <row r="606" spans="1:8" ht="48" customHeight="1">
      <c r="A606" s="4" t="s">
        <v>560</v>
      </c>
      <c r="B606" s="4" t="s">
        <v>3868</v>
      </c>
      <c r="C606" s="4" t="s">
        <v>1465</v>
      </c>
      <c r="D606" s="4" t="s">
        <v>3869</v>
      </c>
      <c r="E606" s="9">
        <v>1014</v>
      </c>
      <c r="F606" s="4" t="s">
        <v>1396</v>
      </c>
      <c r="G606" s="4" t="s">
        <v>1642</v>
      </c>
      <c r="H606" s="4" t="s">
        <v>3870</v>
      </c>
    </row>
    <row r="607" spans="1:8" ht="48" customHeight="1">
      <c r="A607" s="3" t="s">
        <v>607</v>
      </c>
      <c r="B607" s="3" t="s">
        <v>608</v>
      </c>
      <c r="C607" s="3" t="s">
        <v>1643</v>
      </c>
      <c r="D607" s="3" t="s">
        <v>1888</v>
      </c>
      <c r="E607" s="8">
        <v>2535</v>
      </c>
      <c r="F607" s="3" t="s">
        <v>1684</v>
      </c>
      <c r="G607" s="3" t="s">
        <v>1642</v>
      </c>
      <c r="H607" s="3" t="s">
        <v>3871</v>
      </c>
    </row>
    <row r="608" spans="1:8" ht="30" customHeight="1">
      <c r="A608" s="4" t="s">
        <v>607</v>
      </c>
      <c r="B608" s="4" t="s">
        <v>1810</v>
      </c>
      <c r="C608" s="4" t="s">
        <v>1643</v>
      </c>
      <c r="D608" s="4" t="s">
        <v>1811</v>
      </c>
      <c r="E608" s="9">
        <v>1210</v>
      </c>
      <c r="F608" s="4" t="s">
        <v>1376</v>
      </c>
      <c r="G608" s="4" t="s">
        <v>1642</v>
      </c>
      <c r="H608" s="4" t="s">
        <v>3872</v>
      </c>
    </row>
    <row r="609" spans="1:8" ht="48" customHeight="1">
      <c r="A609" s="3" t="s">
        <v>607</v>
      </c>
      <c r="B609" s="3" t="s">
        <v>620</v>
      </c>
      <c r="C609" s="3" t="s">
        <v>1465</v>
      </c>
      <c r="D609" s="3" t="s">
        <v>1892</v>
      </c>
      <c r="E609" s="8">
        <v>2531</v>
      </c>
      <c r="F609" s="3" t="s">
        <v>1684</v>
      </c>
      <c r="G609" s="3" t="s">
        <v>1642</v>
      </c>
      <c r="H609" s="3" t="s">
        <v>3873</v>
      </c>
    </row>
    <row r="610" spans="1:8" ht="30" customHeight="1">
      <c r="A610" s="4" t="s">
        <v>2456</v>
      </c>
      <c r="B610" s="4" t="s">
        <v>3874</v>
      </c>
      <c r="C610" s="4" t="s">
        <v>1465</v>
      </c>
      <c r="D610" s="4" t="s">
        <v>3875</v>
      </c>
      <c r="E610" s="9">
        <v>3713</v>
      </c>
      <c r="F610" s="4" t="s">
        <v>3876</v>
      </c>
      <c r="G610" s="4" t="s">
        <v>1664</v>
      </c>
      <c r="H610" s="4" t="s">
        <v>3877</v>
      </c>
    </row>
    <row r="611" spans="1:8" ht="48" customHeight="1">
      <c r="A611" s="3" t="s">
        <v>2456</v>
      </c>
      <c r="B611" s="3" t="s">
        <v>3878</v>
      </c>
      <c r="C611" s="3" t="s">
        <v>1465</v>
      </c>
      <c r="D611" s="3" t="s">
        <v>3879</v>
      </c>
      <c r="E611" s="8">
        <v>2662</v>
      </c>
      <c r="F611" s="3" t="s">
        <v>1724</v>
      </c>
      <c r="G611" s="3" t="s">
        <v>1664</v>
      </c>
      <c r="H611" s="3" t="s">
        <v>3880</v>
      </c>
    </row>
    <row r="612" spans="1:8" ht="48" customHeight="1">
      <c r="A612" s="4" t="s">
        <v>2456</v>
      </c>
      <c r="B612" s="4" t="s">
        <v>3881</v>
      </c>
      <c r="C612" s="4" t="s">
        <v>1465</v>
      </c>
      <c r="D612" s="4" t="s">
        <v>3882</v>
      </c>
      <c r="E612" s="9">
        <v>2662</v>
      </c>
      <c r="F612" s="4" t="s">
        <v>1724</v>
      </c>
      <c r="G612" s="4" t="s">
        <v>1664</v>
      </c>
      <c r="H612" s="4" t="s">
        <v>3880</v>
      </c>
    </row>
    <row r="613" spans="1:8" ht="48" customHeight="1">
      <c r="A613" s="3" t="s">
        <v>2456</v>
      </c>
      <c r="B613" s="3" t="s">
        <v>3883</v>
      </c>
      <c r="C613" s="3" t="s">
        <v>1465</v>
      </c>
      <c r="D613" s="3" t="s">
        <v>3884</v>
      </c>
      <c r="E613" s="8">
        <v>2662</v>
      </c>
      <c r="F613" s="3" t="s">
        <v>1724</v>
      </c>
      <c r="G613" s="3" t="s">
        <v>1664</v>
      </c>
      <c r="H613" s="3" t="s">
        <v>3880</v>
      </c>
    </row>
    <row r="614" spans="1:8" ht="48" customHeight="1">
      <c r="A614" s="4" t="s">
        <v>2456</v>
      </c>
      <c r="B614" s="4" t="s">
        <v>3885</v>
      </c>
      <c r="C614" s="4" t="s">
        <v>1465</v>
      </c>
      <c r="D614" s="4" t="s">
        <v>3886</v>
      </c>
      <c r="E614" s="9">
        <v>2662</v>
      </c>
      <c r="F614" s="4" t="s">
        <v>1724</v>
      </c>
      <c r="G614" s="4" t="s">
        <v>1664</v>
      </c>
      <c r="H614" s="4" t="s">
        <v>3880</v>
      </c>
    </row>
    <row r="615" spans="1:8" ht="48" customHeight="1">
      <c r="A615" s="3" t="s">
        <v>2456</v>
      </c>
      <c r="B615" s="3" t="s">
        <v>3887</v>
      </c>
      <c r="C615" s="3" t="s">
        <v>1465</v>
      </c>
      <c r="D615" s="3" t="s">
        <v>3888</v>
      </c>
      <c r="E615" s="8">
        <v>2662</v>
      </c>
      <c r="F615" s="3" t="s">
        <v>1724</v>
      </c>
      <c r="G615" s="3" t="s">
        <v>1664</v>
      </c>
      <c r="H615" s="3" t="s">
        <v>3880</v>
      </c>
    </row>
    <row r="616" spans="1:8" ht="48" customHeight="1">
      <c r="A616" s="4" t="s">
        <v>2456</v>
      </c>
      <c r="B616" s="4" t="s">
        <v>3889</v>
      </c>
      <c r="C616" s="4" t="s">
        <v>1465</v>
      </c>
      <c r="D616" s="4" t="s">
        <v>3890</v>
      </c>
      <c r="E616" s="9">
        <v>2662</v>
      </c>
      <c r="F616" s="4" t="s">
        <v>1724</v>
      </c>
      <c r="G616" s="4" t="s">
        <v>1664</v>
      </c>
      <c r="H616" s="4" t="s">
        <v>3880</v>
      </c>
    </row>
    <row r="617" spans="1:8" ht="48" customHeight="1">
      <c r="A617" s="3" t="s">
        <v>2456</v>
      </c>
      <c r="B617" s="3" t="s">
        <v>3891</v>
      </c>
      <c r="C617" s="3" t="s">
        <v>1465</v>
      </c>
      <c r="D617" s="3" t="s">
        <v>3892</v>
      </c>
      <c r="E617" s="8">
        <v>2662</v>
      </c>
      <c r="F617" s="3" t="s">
        <v>1724</v>
      </c>
      <c r="G617" s="3" t="s">
        <v>1664</v>
      </c>
      <c r="H617" s="3" t="s">
        <v>3880</v>
      </c>
    </row>
    <row r="618" spans="1:8" ht="48" customHeight="1">
      <c r="A618" s="4" t="s">
        <v>2456</v>
      </c>
      <c r="B618" s="4" t="s">
        <v>3893</v>
      </c>
      <c r="C618" s="4" t="s">
        <v>1465</v>
      </c>
      <c r="D618" s="4" t="s">
        <v>3894</v>
      </c>
      <c r="E618" s="9">
        <v>2662</v>
      </c>
      <c r="F618" s="4" t="s">
        <v>1724</v>
      </c>
      <c r="G618" s="4" t="s">
        <v>1664</v>
      </c>
      <c r="H618" s="4" t="s">
        <v>3880</v>
      </c>
    </row>
    <row r="619" spans="1:8" ht="48" customHeight="1">
      <c r="A619" s="3" t="s">
        <v>2456</v>
      </c>
      <c r="B619" s="3" t="s">
        <v>3895</v>
      </c>
      <c r="C619" s="3" t="s">
        <v>1465</v>
      </c>
      <c r="D619" s="3" t="s">
        <v>3896</v>
      </c>
      <c r="E619" s="8">
        <v>2662</v>
      </c>
      <c r="F619" s="3" t="s">
        <v>1724</v>
      </c>
      <c r="G619" s="3" t="s">
        <v>1664</v>
      </c>
      <c r="H619" s="3" t="s">
        <v>3880</v>
      </c>
    </row>
    <row r="620" spans="1:8" ht="48" customHeight="1">
      <c r="A620" s="4" t="s">
        <v>2456</v>
      </c>
      <c r="B620" s="4" t="s">
        <v>1725</v>
      </c>
      <c r="C620" s="4" t="s">
        <v>1465</v>
      </c>
      <c r="D620" s="4" t="s">
        <v>1726</v>
      </c>
      <c r="E620" s="9">
        <v>2662</v>
      </c>
      <c r="F620" s="4" t="s">
        <v>1724</v>
      </c>
      <c r="G620" s="4" t="s">
        <v>1664</v>
      </c>
      <c r="H620" s="4" t="s">
        <v>3880</v>
      </c>
    </row>
    <row r="621" spans="1:8" ht="48" customHeight="1">
      <c r="A621" s="3" t="s">
        <v>2456</v>
      </c>
      <c r="B621" s="3" t="s">
        <v>3897</v>
      </c>
      <c r="C621" s="3" t="s">
        <v>1465</v>
      </c>
      <c r="D621" s="3" t="s">
        <v>3898</v>
      </c>
      <c r="E621" s="8">
        <v>2661</v>
      </c>
      <c r="F621" s="3" t="s">
        <v>1724</v>
      </c>
      <c r="G621" s="3" t="s">
        <v>1664</v>
      </c>
      <c r="H621" s="3" t="s">
        <v>3880</v>
      </c>
    </row>
    <row r="622" spans="1:8" ht="48" customHeight="1">
      <c r="A622" s="4" t="s">
        <v>2456</v>
      </c>
      <c r="B622" s="4" t="s">
        <v>3899</v>
      </c>
      <c r="C622" s="4" t="s">
        <v>1465</v>
      </c>
      <c r="D622" s="4" t="s">
        <v>3900</v>
      </c>
      <c r="E622" s="9">
        <v>2661</v>
      </c>
      <c r="F622" s="4" t="s">
        <v>1724</v>
      </c>
      <c r="G622" s="4" t="s">
        <v>1664</v>
      </c>
      <c r="H622" s="4" t="s">
        <v>3880</v>
      </c>
    </row>
    <row r="623" spans="1:8" ht="48" customHeight="1">
      <c r="A623" s="3" t="s">
        <v>2456</v>
      </c>
      <c r="B623" s="3" t="s">
        <v>3901</v>
      </c>
      <c r="C623" s="3" t="s">
        <v>1465</v>
      </c>
      <c r="D623" s="3" t="s">
        <v>3902</v>
      </c>
      <c r="E623" s="8">
        <v>2661</v>
      </c>
      <c r="F623" s="3" t="s">
        <v>1724</v>
      </c>
      <c r="G623" s="3" t="s">
        <v>1664</v>
      </c>
      <c r="H623" s="3" t="s">
        <v>3880</v>
      </c>
    </row>
    <row r="624" spans="1:8" ht="48" customHeight="1">
      <c r="A624" s="4" t="s">
        <v>2456</v>
      </c>
      <c r="B624" s="4" t="s">
        <v>3903</v>
      </c>
      <c r="C624" s="4" t="s">
        <v>1465</v>
      </c>
      <c r="D624" s="4" t="s">
        <v>3904</v>
      </c>
      <c r="E624" s="9">
        <v>2661</v>
      </c>
      <c r="F624" s="4" t="s">
        <v>1724</v>
      </c>
      <c r="G624" s="4" t="s">
        <v>1664</v>
      </c>
      <c r="H624" s="4" t="s">
        <v>3880</v>
      </c>
    </row>
    <row r="625" spans="1:8" ht="48" customHeight="1">
      <c r="A625" s="3" t="s">
        <v>2456</v>
      </c>
      <c r="B625" s="3" t="s">
        <v>3905</v>
      </c>
      <c r="C625" s="3" t="s">
        <v>1465</v>
      </c>
      <c r="D625" s="3" t="s">
        <v>3906</v>
      </c>
      <c r="E625" s="8">
        <v>2659</v>
      </c>
      <c r="F625" s="3" t="s">
        <v>1724</v>
      </c>
      <c r="G625" s="3" t="s">
        <v>1664</v>
      </c>
      <c r="H625" s="3" t="s">
        <v>3880</v>
      </c>
    </row>
    <row r="626" spans="1:8" ht="48" customHeight="1">
      <c r="A626" s="4" t="s">
        <v>2456</v>
      </c>
      <c r="B626" s="4" t="s">
        <v>3907</v>
      </c>
      <c r="C626" s="4" t="s">
        <v>1465</v>
      </c>
      <c r="D626" s="4" t="s">
        <v>3908</v>
      </c>
      <c r="E626" s="9">
        <v>1608</v>
      </c>
      <c r="F626" s="4" t="s">
        <v>1693</v>
      </c>
      <c r="G626" s="4" t="s">
        <v>1664</v>
      </c>
      <c r="H626" s="4" t="s">
        <v>3909</v>
      </c>
    </row>
    <row r="627" spans="1:8" ht="30" customHeight="1">
      <c r="A627" s="3" t="s">
        <v>2456</v>
      </c>
      <c r="B627" s="3" t="s">
        <v>3910</v>
      </c>
      <c r="C627" s="3" t="s">
        <v>1465</v>
      </c>
      <c r="D627" s="3" t="s">
        <v>3911</v>
      </c>
      <c r="E627" s="8">
        <v>1604</v>
      </c>
      <c r="F627" s="3" t="s">
        <v>1693</v>
      </c>
      <c r="G627" s="3" t="s">
        <v>1664</v>
      </c>
      <c r="H627" s="3" t="s">
        <v>3912</v>
      </c>
    </row>
    <row r="628" spans="1:8" ht="30" customHeight="1">
      <c r="A628" s="4" t="s">
        <v>2456</v>
      </c>
      <c r="B628" s="4" t="s">
        <v>3913</v>
      </c>
      <c r="C628" s="4" t="s">
        <v>1465</v>
      </c>
      <c r="D628" s="4" t="s">
        <v>3914</v>
      </c>
      <c r="E628" s="9">
        <v>1594</v>
      </c>
      <c r="F628" s="4" t="s">
        <v>1693</v>
      </c>
      <c r="G628" s="4" t="s">
        <v>1664</v>
      </c>
      <c r="H628" s="4" t="s">
        <v>3915</v>
      </c>
    </row>
    <row r="629" spans="1:8" ht="48" customHeight="1">
      <c r="A629" s="3" t="s">
        <v>2456</v>
      </c>
      <c r="B629" s="3" t="s">
        <v>3916</v>
      </c>
      <c r="C629" s="3" t="s">
        <v>1465</v>
      </c>
      <c r="D629" s="3" t="s">
        <v>3917</v>
      </c>
      <c r="E629" s="8">
        <v>1507</v>
      </c>
      <c r="F629" s="3" t="s">
        <v>1354</v>
      </c>
      <c r="G629" s="3" t="s">
        <v>1664</v>
      </c>
      <c r="H629" s="3" t="s">
        <v>3918</v>
      </c>
    </row>
    <row r="630" spans="1:8" ht="48" customHeight="1">
      <c r="A630" s="4" t="s">
        <v>2456</v>
      </c>
      <c r="B630" s="4" t="s">
        <v>2458</v>
      </c>
      <c r="C630" s="4" t="s">
        <v>1465</v>
      </c>
      <c r="D630" s="4" t="s">
        <v>2459</v>
      </c>
      <c r="E630" s="9">
        <v>1204</v>
      </c>
      <c r="F630" s="4" t="s">
        <v>1380</v>
      </c>
      <c r="G630" s="4" t="s">
        <v>1642</v>
      </c>
      <c r="H630" s="4" t="s">
        <v>3919</v>
      </c>
    </row>
    <row r="631" spans="1:8" ht="30" customHeight="1">
      <c r="A631" s="3" t="s">
        <v>2456</v>
      </c>
      <c r="B631" s="3" t="s">
        <v>2462</v>
      </c>
      <c r="C631" s="3" t="s">
        <v>1465</v>
      </c>
      <c r="D631" s="3" t="s">
        <v>2463</v>
      </c>
      <c r="E631" s="8">
        <v>1204</v>
      </c>
      <c r="F631" s="3" t="s">
        <v>1380</v>
      </c>
      <c r="G631" s="3" t="s">
        <v>1642</v>
      </c>
      <c r="H631" s="3" t="s">
        <v>3920</v>
      </c>
    </row>
    <row r="632" spans="1:8" ht="48" customHeight="1">
      <c r="A632" s="4" t="s">
        <v>2021</v>
      </c>
      <c r="B632" s="4" t="s">
        <v>1969</v>
      </c>
      <c r="C632" s="4" t="s">
        <v>1643</v>
      </c>
      <c r="D632" s="4" t="s">
        <v>1970</v>
      </c>
      <c r="E632" s="9">
        <v>1204</v>
      </c>
      <c r="F632" s="4" t="s">
        <v>1380</v>
      </c>
      <c r="G632" s="4" t="s">
        <v>1642</v>
      </c>
      <c r="H632" s="4" t="s">
        <v>3921</v>
      </c>
    </row>
    <row r="633" spans="1:8" ht="48" customHeight="1">
      <c r="A633" s="3" t="s">
        <v>2021</v>
      </c>
      <c r="B633" s="3" t="s">
        <v>2023</v>
      </c>
      <c r="C633" s="3" t="s">
        <v>1643</v>
      </c>
      <c r="D633" s="3" t="s">
        <v>3922</v>
      </c>
      <c r="E633" s="8">
        <v>1200</v>
      </c>
      <c r="F633" s="3" t="s">
        <v>1380</v>
      </c>
      <c r="G633" s="3" t="s">
        <v>1642</v>
      </c>
      <c r="H633" s="3" t="s">
        <v>3923</v>
      </c>
    </row>
    <row r="634" spans="1:8" ht="48" customHeight="1">
      <c r="A634" s="4" t="s">
        <v>2027</v>
      </c>
      <c r="B634" s="4" t="s">
        <v>1987</v>
      </c>
      <c r="C634" s="4" t="s">
        <v>1643</v>
      </c>
      <c r="D634" s="4" t="s">
        <v>1988</v>
      </c>
      <c r="E634" s="9">
        <v>1203</v>
      </c>
      <c r="F634" s="4" t="s">
        <v>1380</v>
      </c>
      <c r="G634" s="4" t="s">
        <v>1642</v>
      </c>
      <c r="H634" s="4" t="s">
        <v>3924</v>
      </c>
    </row>
    <row r="635" spans="1:8" ht="48" customHeight="1">
      <c r="A635" s="3" t="s">
        <v>2027</v>
      </c>
      <c r="B635" s="3" t="s">
        <v>2029</v>
      </c>
      <c r="C635" s="3" t="s">
        <v>1643</v>
      </c>
      <c r="D635" s="3" t="s">
        <v>3925</v>
      </c>
      <c r="E635" s="8">
        <v>1202</v>
      </c>
      <c r="F635" s="3" t="s">
        <v>1380</v>
      </c>
      <c r="G635" s="3" t="s">
        <v>1642</v>
      </c>
      <c r="H635" s="3" t="s">
        <v>3926</v>
      </c>
    </row>
    <row r="636" spans="1:8" ht="48" customHeight="1">
      <c r="A636" s="4" t="s">
        <v>2027</v>
      </c>
      <c r="B636" s="4" t="s">
        <v>3927</v>
      </c>
      <c r="C636" s="4" t="s">
        <v>1465</v>
      </c>
      <c r="D636" s="4" t="s">
        <v>3928</v>
      </c>
      <c r="E636" s="9">
        <v>1535</v>
      </c>
      <c r="F636" s="4" t="s">
        <v>1351</v>
      </c>
      <c r="G636" s="4" t="s">
        <v>1664</v>
      </c>
      <c r="H636" s="4" t="s">
        <v>3929</v>
      </c>
    </row>
    <row r="637" spans="1:8" ht="48" customHeight="1">
      <c r="A637" s="3" t="s">
        <v>2030</v>
      </c>
      <c r="B637" s="3" t="s">
        <v>2032</v>
      </c>
      <c r="C637" s="3" t="s">
        <v>1643</v>
      </c>
      <c r="D637" s="3" t="s">
        <v>2033</v>
      </c>
      <c r="E637" s="8">
        <v>1203</v>
      </c>
      <c r="F637" s="3" t="s">
        <v>1380</v>
      </c>
      <c r="G637" s="3" t="s">
        <v>1642</v>
      </c>
      <c r="H637" s="3" t="s">
        <v>3930</v>
      </c>
    </row>
    <row r="638" spans="1:8" ht="48" customHeight="1">
      <c r="A638" s="4" t="s">
        <v>2030</v>
      </c>
      <c r="B638" s="4" t="s">
        <v>2034</v>
      </c>
      <c r="C638" s="4" t="s">
        <v>1643</v>
      </c>
      <c r="D638" s="4" t="s">
        <v>3931</v>
      </c>
      <c r="E638" s="9">
        <v>1203</v>
      </c>
      <c r="F638" s="4" t="s">
        <v>1380</v>
      </c>
      <c r="G638" s="4" t="s">
        <v>1642</v>
      </c>
      <c r="H638" s="4" t="s">
        <v>3932</v>
      </c>
    </row>
    <row r="639" spans="1:8" ht="48" customHeight="1">
      <c r="A639" s="3" t="s">
        <v>2030</v>
      </c>
      <c r="B639" s="3" t="s">
        <v>3933</v>
      </c>
      <c r="C639" s="3" t="s">
        <v>1465</v>
      </c>
      <c r="D639" s="3" t="s">
        <v>3934</v>
      </c>
      <c r="E639" s="8">
        <v>3902</v>
      </c>
      <c r="F639" s="3" t="s">
        <v>2855</v>
      </c>
      <c r="G639" s="3" t="s">
        <v>1642</v>
      </c>
      <c r="H639" s="3" t="s">
        <v>3935</v>
      </c>
    </row>
    <row r="640" spans="1:8" ht="48" customHeight="1">
      <c r="A640" s="4" t="s">
        <v>2030</v>
      </c>
      <c r="B640" s="4" t="s">
        <v>3603</v>
      </c>
      <c r="C640" s="4" t="s">
        <v>1465</v>
      </c>
      <c r="D640" s="4" t="s">
        <v>3604</v>
      </c>
      <c r="E640" s="9">
        <v>3477</v>
      </c>
      <c r="F640" s="4" t="s">
        <v>2214</v>
      </c>
      <c r="G640" s="4" t="s">
        <v>1642</v>
      </c>
      <c r="H640" s="4" t="s">
        <v>3936</v>
      </c>
    </row>
    <row r="641" spans="1:8" ht="48" customHeight="1">
      <c r="A641" s="3" t="s">
        <v>2030</v>
      </c>
      <c r="B641" s="3" t="s">
        <v>3606</v>
      </c>
      <c r="C641" s="3" t="s">
        <v>1465</v>
      </c>
      <c r="D641" s="3" t="s">
        <v>3607</v>
      </c>
      <c r="E641" s="8">
        <v>2629</v>
      </c>
      <c r="F641" s="3" t="s">
        <v>1681</v>
      </c>
      <c r="G641" s="3" t="s">
        <v>1664</v>
      </c>
      <c r="H641" s="3" t="s">
        <v>3937</v>
      </c>
    </row>
    <row r="642" spans="1:8" ht="48" customHeight="1">
      <c r="A642" s="4" t="s">
        <v>2030</v>
      </c>
      <c r="B642" s="4" t="s">
        <v>2560</v>
      </c>
      <c r="C642" s="4" t="s">
        <v>1465</v>
      </c>
      <c r="D642" s="4" t="s">
        <v>2561</v>
      </c>
      <c r="E642" s="9">
        <v>2534</v>
      </c>
      <c r="F642" s="4" t="s">
        <v>1684</v>
      </c>
      <c r="G642" s="4" t="s">
        <v>1642</v>
      </c>
      <c r="H642" s="4" t="s">
        <v>3938</v>
      </c>
    </row>
    <row r="643" spans="1:8" ht="48" customHeight="1">
      <c r="A643" s="3" t="s">
        <v>2030</v>
      </c>
      <c r="B643" s="3" t="s">
        <v>3939</v>
      </c>
      <c r="C643" s="3" t="s">
        <v>1465</v>
      </c>
      <c r="D643" s="3" t="s">
        <v>3940</v>
      </c>
      <c r="E643" s="8">
        <v>2532</v>
      </c>
      <c r="F643" s="3" t="s">
        <v>1684</v>
      </c>
      <c r="G643" s="3" t="s">
        <v>1642</v>
      </c>
      <c r="H643" s="3" t="s">
        <v>3941</v>
      </c>
    </row>
    <row r="644" spans="1:8" ht="48" customHeight="1">
      <c r="A644" s="4" t="s">
        <v>2030</v>
      </c>
      <c r="B644" s="4" t="s">
        <v>1882</v>
      </c>
      <c r="C644" s="4" t="s">
        <v>1465</v>
      </c>
      <c r="D644" s="4" t="s">
        <v>3595</v>
      </c>
      <c r="E644" s="9">
        <v>1050</v>
      </c>
      <c r="F644" s="4" t="s">
        <v>1394</v>
      </c>
      <c r="G644" s="4" t="s">
        <v>1664</v>
      </c>
      <c r="H644" s="4" t="s">
        <v>3942</v>
      </c>
    </row>
    <row r="645" spans="1:8" ht="30" customHeight="1">
      <c r="A645" s="3" t="s">
        <v>2014</v>
      </c>
      <c r="B645" s="3" t="s">
        <v>1962</v>
      </c>
      <c r="C645" s="3" t="s">
        <v>1643</v>
      </c>
      <c r="D645" s="3" t="s">
        <v>1963</v>
      </c>
      <c r="E645" s="8">
        <v>1205</v>
      </c>
      <c r="F645" s="3" t="s">
        <v>1380</v>
      </c>
      <c r="G645" s="3" t="s">
        <v>1642</v>
      </c>
      <c r="H645" s="3" t="s">
        <v>3943</v>
      </c>
    </row>
    <row r="646" spans="1:8" ht="48" customHeight="1">
      <c r="A646" s="4" t="s">
        <v>2014</v>
      </c>
      <c r="B646" s="4" t="s">
        <v>1964</v>
      </c>
      <c r="C646" s="4" t="s">
        <v>1643</v>
      </c>
      <c r="D646" s="4" t="s">
        <v>3944</v>
      </c>
      <c r="E646" s="9">
        <v>1202</v>
      </c>
      <c r="F646" s="4" t="s">
        <v>1380</v>
      </c>
      <c r="G646" s="4" t="s">
        <v>1642</v>
      </c>
      <c r="H646" s="4" t="s">
        <v>3945</v>
      </c>
    </row>
    <row r="647" spans="1:8" ht="30" customHeight="1">
      <c r="A647" s="3" t="s">
        <v>2014</v>
      </c>
      <c r="B647" s="3" t="s">
        <v>3946</v>
      </c>
      <c r="C647" s="3" t="s">
        <v>1465</v>
      </c>
      <c r="D647" s="3" t="s">
        <v>3947</v>
      </c>
      <c r="E647" s="8">
        <v>1022</v>
      </c>
      <c r="F647" s="3" t="s">
        <v>1396</v>
      </c>
      <c r="G647" s="3" t="s">
        <v>1642</v>
      </c>
      <c r="H647" s="3" t="s">
        <v>3948</v>
      </c>
    </row>
    <row r="648" spans="1:8" ht="30" customHeight="1">
      <c r="A648" s="4" t="s">
        <v>2042</v>
      </c>
      <c r="B648" s="4" t="s">
        <v>1995</v>
      </c>
      <c r="C648" s="4" t="s">
        <v>1643</v>
      </c>
      <c r="D648" s="4" t="s">
        <v>1996</v>
      </c>
      <c r="E648" s="9">
        <v>1202</v>
      </c>
      <c r="F648" s="4" t="s">
        <v>1380</v>
      </c>
      <c r="G648" s="4" t="s">
        <v>1642</v>
      </c>
      <c r="H648" s="4" t="s">
        <v>3949</v>
      </c>
    </row>
    <row r="649" spans="1:8" ht="30" customHeight="1">
      <c r="A649" s="3" t="s">
        <v>2042</v>
      </c>
      <c r="B649" s="3" t="s">
        <v>2044</v>
      </c>
      <c r="C649" s="3" t="s">
        <v>1643</v>
      </c>
      <c r="D649" s="3" t="s">
        <v>2477</v>
      </c>
      <c r="E649" s="8">
        <v>1201</v>
      </c>
      <c r="F649" s="3" t="s">
        <v>1380</v>
      </c>
      <c r="G649" s="3" t="s">
        <v>1642</v>
      </c>
      <c r="H649" s="3" t="s">
        <v>3950</v>
      </c>
    </row>
    <row r="650" spans="1:8" ht="48" customHeight="1">
      <c r="A650" s="4" t="s">
        <v>2042</v>
      </c>
      <c r="B650" s="4" t="s">
        <v>1948</v>
      </c>
      <c r="C650" s="4" t="s">
        <v>1465</v>
      </c>
      <c r="D650" s="4" t="s">
        <v>1949</v>
      </c>
      <c r="E650" s="9">
        <v>1300</v>
      </c>
      <c r="F650" s="4" t="s">
        <v>1362</v>
      </c>
      <c r="G650" s="4" t="s">
        <v>1664</v>
      </c>
      <c r="H650" s="4" t="s">
        <v>3951</v>
      </c>
    </row>
    <row r="651" spans="1:8" ht="48" customHeight="1">
      <c r="A651" s="3" t="s">
        <v>2045</v>
      </c>
      <c r="B651" s="3" t="s">
        <v>2047</v>
      </c>
      <c r="C651" s="3" t="s">
        <v>1643</v>
      </c>
      <c r="D651" s="3" t="s">
        <v>2048</v>
      </c>
      <c r="E651" s="8">
        <v>1202</v>
      </c>
      <c r="F651" s="3" t="s">
        <v>1380</v>
      </c>
      <c r="G651" s="3" t="s">
        <v>1642</v>
      </c>
      <c r="H651" s="3" t="s">
        <v>3952</v>
      </c>
    </row>
    <row r="652" spans="1:8" ht="30" customHeight="1">
      <c r="A652" s="4" t="s">
        <v>2045</v>
      </c>
      <c r="B652" s="4" t="s">
        <v>2000</v>
      </c>
      <c r="C652" s="4" t="s">
        <v>1643</v>
      </c>
      <c r="D652" s="4" t="s">
        <v>2001</v>
      </c>
      <c r="E652" s="9">
        <v>1201</v>
      </c>
      <c r="F652" s="4" t="s">
        <v>1380</v>
      </c>
      <c r="G652" s="4" t="s">
        <v>1642</v>
      </c>
      <c r="H652" s="4" t="s">
        <v>3953</v>
      </c>
    </row>
    <row r="653" spans="1:8" ht="48" customHeight="1">
      <c r="A653" s="3" t="s">
        <v>2035</v>
      </c>
      <c r="B653" s="3" t="s">
        <v>1982</v>
      </c>
      <c r="C653" s="3" t="s">
        <v>1643</v>
      </c>
      <c r="D653" s="3" t="s">
        <v>1983</v>
      </c>
      <c r="E653" s="8">
        <v>1203</v>
      </c>
      <c r="F653" s="3" t="s">
        <v>1380</v>
      </c>
      <c r="G653" s="3" t="s">
        <v>1642</v>
      </c>
      <c r="H653" s="3" t="s">
        <v>3954</v>
      </c>
    </row>
    <row r="654" spans="1:8" ht="48" customHeight="1">
      <c r="A654" s="4" t="s">
        <v>2035</v>
      </c>
      <c r="B654" s="4" t="s">
        <v>2008</v>
      </c>
      <c r="C654" s="4" t="s">
        <v>1643</v>
      </c>
      <c r="D654" s="4" t="s">
        <v>2009</v>
      </c>
      <c r="E654" s="9">
        <v>1199</v>
      </c>
      <c r="F654" s="4" t="s">
        <v>1380</v>
      </c>
      <c r="G654" s="4" t="s">
        <v>1642</v>
      </c>
      <c r="H654" s="4" t="s">
        <v>3955</v>
      </c>
    </row>
    <row r="655" spans="1:8" ht="48" customHeight="1">
      <c r="A655" s="3" t="s">
        <v>2024</v>
      </c>
      <c r="B655" s="3" t="s">
        <v>1973</v>
      </c>
      <c r="C655" s="3" t="s">
        <v>1643</v>
      </c>
      <c r="D655" s="3" t="s">
        <v>1974</v>
      </c>
      <c r="E655" s="8">
        <v>1204</v>
      </c>
      <c r="F655" s="3" t="s">
        <v>1380</v>
      </c>
      <c r="G655" s="3" t="s">
        <v>1642</v>
      </c>
      <c r="H655" s="3" t="s">
        <v>3956</v>
      </c>
    </row>
    <row r="656" spans="1:8" ht="48" customHeight="1">
      <c r="A656" s="4" t="s">
        <v>2024</v>
      </c>
      <c r="B656" s="4" t="s">
        <v>2026</v>
      </c>
      <c r="C656" s="4" t="s">
        <v>1643</v>
      </c>
      <c r="D656" s="4" t="s">
        <v>2474</v>
      </c>
      <c r="E656" s="9">
        <v>1201</v>
      </c>
      <c r="F656" s="4" t="s">
        <v>1380</v>
      </c>
      <c r="G656" s="4" t="s">
        <v>1642</v>
      </c>
      <c r="H656" s="4" t="s">
        <v>3957</v>
      </c>
    </row>
    <row r="657" spans="1:8" ht="48" customHeight="1">
      <c r="A657" s="3" t="s">
        <v>2017</v>
      </c>
      <c r="B657" s="3" t="s">
        <v>2019</v>
      </c>
      <c r="C657" s="3" t="s">
        <v>1643</v>
      </c>
      <c r="D657" s="3" t="s">
        <v>2020</v>
      </c>
      <c r="E657" s="8">
        <v>1205</v>
      </c>
      <c r="F657" s="3" t="s">
        <v>1380</v>
      </c>
      <c r="G657" s="3" t="s">
        <v>1642</v>
      </c>
      <c r="H657" s="3" t="s">
        <v>3958</v>
      </c>
    </row>
    <row r="658" spans="1:8" ht="48" customHeight="1">
      <c r="A658" s="4" t="s">
        <v>2017</v>
      </c>
      <c r="B658" s="4" t="s">
        <v>2004</v>
      </c>
      <c r="C658" s="4" t="s">
        <v>1643</v>
      </c>
      <c r="D658" s="4" t="s">
        <v>2005</v>
      </c>
      <c r="E658" s="9">
        <v>1201</v>
      </c>
      <c r="F658" s="4" t="s">
        <v>1380</v>
      </c>
      <c r="G658" s="4" t="s">
        <v>1642</v>
      </c>
      <c r="H658" s="4" t="s">
        <v>3959</v>
      </c>
    </row>
    <row r="659" spans="1:8" ht="48" customHeight="1">
      <c r="A659" s="3" t="s">
        <v>2017</v>
      </c>
      <c r="B659" s="3" t="s">
        <v>1069</v>
      </c>
      <c r="C659" s="3" t="s">
        <v>1465</v>
      </c>
      <c r="D659" s="3" t="s">
        <v>3960</v>
      </c>
      <c r="E659" s="8">
        <v>3461</v>
      </c>
      <c r="F659" s="3" t="s">
        <v>2209</v>
      </c>
      <c r="G659" s="3" t="s">
        <v>1642</v>
      </c>
      <c r="H659" s="3" t="s">
        <v>3961</v>
      </c>
    </row>
    <row r="660" spans="1:8" ht="48" customHeight="1">
      <c r="A660" s="4" t="s">
        <v>2037</v>
      </c>
      <c r="B660" s="4" t="s">
        <v>2039</v>
      </c>
      <c r="C660" s="4" t="s">
        <v>1643</v>
      </c>
      <c r="D660" s="4" t="s">
        <v>2040</v>
      </c>
      <c r="E660" s="9">
        <v>1203</v>
      </c>
      <c r="F660" s="4" t="s">
        <v>1380</v>
      </c>
      <c r="G660" s="4" t="s">
        <v>1642</v>
      </c>
      <c r="H660" s="4" t="s">
        <v>3962</v>
      </c>
    </row>
    <row r="661" spans="1:8" ht="48" customHeight="1">
      <c r="A661" s="3" t="s">
        <v>2037</v>
      </c>
      <c r="B661" s="3" t="s">
        <v>1991</v>
      </c>
      <c r="C661" s="3" t="s">
        <v>1643</v>
      </c>
      <c r="D661" s="3" t="s">
        <v>1992</v>
      </c>
      <c r="E661" s="8">
        <v>1202</v>
      </c>
      <c r="F661" s="3" t="s">
        <v>1380</v>
      </c>
      <c r="G661" s="3" t="s">
        <v>1642</v>
      </c>
      <c r="H661" s="3" t="s">
        <v>3963</v>
      </c>
    </row>
    <row r="662" spans="1:8" ht="48" customHeight="1">
      <c r="A662" s="4" t="s">
        <v>2037</v>
      </c>
      <c r="B662" s="4" t="s">
        <v>1869</v>
      </c>
      <c r="C662" s="4" t="s">
        <v>1643</v>
      </c>
      <c r="D662" s="4" t="s">
        <v>3964</v>
      </c>
      <c r="E662" s="9">
        <v>1201</v>
      </c>
      <c r="F662" s="4" t="s">
        <v>1380</v>
      </c>
      <c r="G662" s="4" t="s">
        <v>1642</v>
      </c>
      <c r="H662" s="4" t="s">
        <v>3965</v>
      </c>
    </row>
    <row r="663" spans="1:8" ht="48" customHeight="1">
      <c r="A663" s="3" t="s">
        <v>2037</v>
      </c>
      <c r="B663" s="3" t="s">
        <v>3966</v>
      </c>
      <c r="C663" s="3" t="s">
        <v>1465</v>
      </c>
      <c r="D663" s="3" t="s">
        <v>3967</v>
      </c>
      <c r="E663" s="8">
        <v>2662</v>
      </c>
      <c r="F663" s="3" t="s">
        <v>2923</v>
      </c>
      <c r="G663" s="3" t="s">
        <v>1664</v>
      </c>
      <c r="H663" s="3" t="s">
        <v>3968</v>
      </c>
    </row>
    <row r="664" spans="1:8" ht="48" customHeight="1">
      <c r="A664" s="4" t="s">
        <v>2037</v>
      </c>
      <c r="B664" s="4" t="s">
        <v>3969</v>
      </c>
      <c r="C664" s="4" t="s">
        <v>1465</v>
      </c>
      <c r="D664" s="4" t="s">
        <v>3970</v>
      </c>
      <c r="E664" s="9">
        <v>2494</v>
      </c>
      <c r="F664" s="4" t="s">
        <v>2263</v>
      </c>
      <c r="G664" s="4" t="s">
        <v>1642</v>
      </c>
      <c r="H664" s="4" t="s">
        <v>3971</v>
      </c>
    </row>
    <row r="665" spans="1:8" ht="48" customHeight="1">
      <c r="A665" s="3" t="s">
        <v>2037</v>
      </c>
      <c r="B665" s="3" t="s">
        <v>3972</v>
      </c>
      <c r="C665" s="3" t="s">
        <v>1465</v>
      </c>
      <c r="D665" s="3" t="s">
        <v>3973</v>
      </c>
      <c r="E665" s="8">
        <v>1481</v>
      </c>
      <c r="F665" s="3" t="s">
        <v>1672</v>
      </c>
      <c r="G665" s="3" t="s">
        <v>1664</v>
      </c>
      <c r="H665" s="3" t="s">
        <v>3974</v>
      </c>
    </row>
    <row r="666" spans="1:8" ht="48" customHeight="1">
      <c r="A666" s="4" t="s">
        <v>2037</v>
      </c>
      <c r="B666" s="4" t="s">
        <v>3975</v>
      </c>
      <c r="C666" s="4" t="s">
        <v>1465</v>
      </c>
      <c r="D666" s="4" t="s">
        <v>3976</v>
      </c>
      <c r="E666" s="9">
        <v>1285</v>
      </c>
      <c r="F666" s="4" t="s">
        <v>3001</v>
      </c>
      <c r="G666" s="4" t="s">
        <v>1664</v>
      </c>
      <c r="H666" s="4" t="s">
        <v>3977</v>
      </c>
    </row>
    <row r="667" spans="1:8" ht="48" customHeight="1">
      <c r="A667" s="3" t="s">
        <v>2037</v>
      </c>
      <c r="B667" s="3" t="s">
        <v>3978</v>
      </c>
      <c r="C667" s="3" t="s">
        <v>1465</v>
      </c>
      <c r="D667" s="3" t="s">
        <v>3979</v>
      </c>
      <c r="E667" s="8">
        <v>1209</v>
      </c>
      <c r="F667" s="3" t="s">
        <v>1376</v>
      </c>
      <c r="G667" s="3" t="s">
        <v>1642</v>
      </c>
      <c r="H667" s="3" t="s">
        <v>3980</v>
      </c>
    </row>
    <row r="668" spans="1:8" ht="48" customHeight="1">
      <c r="A668" s="4" t="s">
        <v>2037</v>
      </c>
      <c r="B668" s="4" t="s">
        <v>3981</v>
      </c>
      <c r="C668" s="4" t="s">
        <v>1465</v>
      </c>
      <c r="D668" s="4" t="s">
        <v>3982</v>
      </c>
      <c r="E668" s="9">
        <v>1207</v>
      </c>
      <c r="F668" s="4" t="s">
        <v>1376</v>
      </c>
      <c r="G668" s="4" t="s">
        <v>1642</v>
      </c>
      <c r="H668" s="4" t="s">
        <v>3983</v>
      </c>
    </row>
    <row r="669" spans="1:8" ht="48" customHeight="1">
      <c r="A669" s="3" t="s">
        <v>2037</v>
      </c>
      <c r="B669" s="3" t="s">
        <v>1977</v>
      </c>
      <c r="C669" s="3" t="s">
        <v>1465</v>
      </c>
      <c r="D669" s="3" t="s">
        <v>1978</v>
      </c>
      <c r="E669" s="8">
        <v>1204</v>
      </c>
      <c r="F669" s="3" t="s">
        <v>1380</v>
      </c>
      <c r="G669" s="3" t="s">
        <v>1642</v>
      </c>
      <c r="H669" s="3" t="s">
        <v>3984</v>
      </c>
    </row>
    <row r="670" spans="1:8" ht="48" customHeight="1">
      <c r="A670" s="4" t="s">
        <v>2037</v>
      </c>
      <c r="B670" s="4" t="s">
        <v>3985</v>
      </c>
      <c r="C670" s="4" t="s">
        <v>1465</v>
      </c>
      <c r="D670" s="4" t="s">
        <v>3986</v>
      </c>
      <c r="E670" s="9">
        <v>1038</v>
      </c>
      <c r="F670" s="4" t="s">
        <v>1394</v>
      </c>
      <c r="G670" s="4" t="s">
        <v>1664</v>
      </c>
      <c r="H670" s="4" t="s">
        <v>3987</v>
      </c>
    </row>
    <row r="671" spans="1:8" ht="48" customHeight="1">
      <c r="A671" s="3" t="s">
        <v>2464</v>
      </c>
      <c r="B671" s="3" t="s">
        <v>3988</v>
      </c>
      <c r="C671" s="3" t="s">
        <v>1465</v>
      </c>
      <c r="D671" s="3" t="s">
        <v>3989</v>
      </c>
      <c r="E671" s="8">
        <v>2849</v>
      </c>
      <c r="F671" s="3" t="s">
        <v>2225</v>
      </c>
      <c r="G671" s="3" t="s">
        <v>1664</v>
      </c>
      <c r="H671" s="3" t="s">
        <v>3990</v>
      </c>
    </row>
    <row r="672" spans="1:8" ht="48" customHeight="1">
      <c r="A672" s="4" t="s">
        <v>2464</v>
      </c>
      <c r="B672" s="4" t="s">
        <v>1982</v>
      </c>
      <c r="C672" s="4" t="s">
        <v>1465</v>
      </c>
      <c r="D672" s="4" t="s">
        <v>1983</v>
      </c>
      <c r="E672" s="9">
        <v>1203</v>
      </c>
      <c r="F672" s="4" t="s">
        <v>1380</v>
      </c>
      <c r="G672" s="4" t="s">
        <v>1642</v>
      </c>
      <c r="H672" s="4" t="s">
        <v>3991</v>
      </c>
    </row>
    <row r="673" spans="1:8" ht="30" customHeight="1">
      <c r="A673" s="3" t="s">
        <v>2292</v>
      </c>
      <c r="B673" s="3" t="s">
        <v>2294</v>
      </c>
      <c r="C673" s="3" t="s">
        <v>1465</v>
      </c>
      <c r="D673" s="3" t="s">
        <v>2295</v>
      </c>
      <c r="E673" s="8">
        <v>2439</v>
      </c>
      <c r="F673" s="3" t="s">
        <v>1778</v>
      </c>
      <c r="G673" s="3" t="s">
        <v>1642</v>
      </c>
      <c r="H673" s="3" t="s">
        <v>3992</v>
      </c>
    </row>
    <row r="674" spans="1:8" ht="30" customHeight="1">
      <c r="A674" s="4" t="s">
        <v>2292</v>
      </c>
      <c r="B674" s="4" t="s">
        <v>3993</v>
      </c>
      <c r="C674" s="4" t="s">
        <v>1465</v>
      </c>
      <c r="D674" s="4" t="s">
        <v>3994</v>
      </c>
      <c r="E674" s="9">
        <v>2215</v>
      </c>
      <c r="F674" s="4" t="s">
        <v>1732</v>
      </c>
      <c r="G674" s="4" t="s">
        <v>1642</v>
      </c>
      <c r="H674" s="4" t="s">
        <v>3995</v>
      </c>
    </row>
    <row r="675" spans="1:8" ht="30" customHeight="1">
      <c r="A675" s="3" t="s">
        <v>2292</v>
      </c>
      <c r="B675" s="3" t="s">
        <v>3996</v>
      </c>
      <c r="C675" s="3" t="s">
        <v>1465</v>
      </c>
      <c r="D675" s="3" t="s">
        <v>3997</v>
      </c>
      <c r="E675" s="8">
        <v>1315</v>
      </c>
      <c r="F675" s="3" t="s">
        <v>1362</v>
      </c>
      <c r="G675" s="3" t="s">
        <v>1664</v>
      </c>
      <c r="H675" s="3" t="s">
        <v>3998</v>
      </c>
    </row>
    <row r="676" spans="1:8" ht="30" customHeight="1">
      <c r="A676" s="4" t="s">
        <v>2430</v>
      </c>
      <c r="B676" s="4" t="s">
        <v>3999</v>
      </c>
      <c r="C676" s="4" t="s">
        <v>1465</v>
      </c>
      <c r="D676" s="4" t="s">
        <v>4000</v>
      </c>
      <c r="E676" s="9">
        <v>1428</v>
      </c>
      <c r="F676" s="4" t="s">
        <v>1356</v>
      </c>
      <c r="G676" s="4" t="s">
        <v>1664</v>
      </c>
      <c r="H676" s="4" t="s">
        <v>4001</v>
      </c>
    </row>
    <row r="677" spans="1:8" ht="30" customHeight="1">
      <c r="A677" s="3" t="s">
        <v>2430</v>
      </c>
      <c r="B677" s="3" t="s">
        <v>4002</v>
      </c>
      <c r="C677" s="3" t="s">
        <v>1465</v>
      </c>
      <c r="D677" s="3" t="s">
        <v>4003</v>
      </c>
      <c r="E677" s="8">
        <v>1422</v>
      </c>
      <c r="F677" s="3" t="s">
        <v>1356</v>
      </c>
      <c r="G677" s="3" t="s">
        <v>1664</v>
      </c>
      <c r="H677" s="3" t="s">
        <v>4004</v>
      </c>
    </row>
    <row r="678" spans="1:8" ht="30" customHeight="1">
      <c r="A678" s="4" t="s">
        <v>2430</v>
      </c>
      <c r="B678" s="4" t="s">
        <v>4005</v>
      </c>
      <c r="C678" s="4" t="s">
        <v>1465</v>
      </c>
      <c r="D678" s="4" t="s">
        <v>4006</v>
      </c>
      <c r="E678" s="9">
        <v>1415</v>
      </c>
      <c r="F678" s="4" t="s">
        <v>1356</v>
      </c>
      <c r="G678" s="4" t="s">
        <v>1664</v>
      </c>
      <c r="H678" s="4" t="s">
        <v>4007</v>
      </c>
    </row>
    <row r="679" spans="1:8" ht="30" customHeight="1">
      <c r="A679" s="3" t="s">
        <v>2430</v>
      </c>
      <c r="B679" s="3" t="s">
        <v>2432</v>
      </c>
      <c r="C679" s="3" t="s">
        <v>1465</v>
      </c>
      <c r="D679" s="3" t="s">
        <v>2433</v>
      </c>
      <c r="E679" s="8">
        <v>1227</v>
      </c>
      <c r="F679" s="3" t="s">
        <v>1370</v>
      </c>
      <c r="G679" s="3" t="s">
        <v>1642</v>
      </c>
      <c r="H679" s="3" t="s">
        <v>4008</v>
      </c>
    </row>
    <row r="680" spans="1:8" ht="48" customHeight="1">
      <c r="A680" s="4" t="s">
        <v>2179</v>
      </c>
      <c r="B680" s="4" t="s">
        <v>1652</v>
      </c>
      <c r="C680" s="4" t="s">
        <v>1465</v>
      </c>
      <c r="D680" s="4" t="s">
        <v>1653</v>
      </c>
      <c r="E680" s="9">
        <v>6337</v>
      </c>
      <c r="F680" s="4" t="s">
        <v>1654</v>
      </c>
      <c r="G680" s="4" t="s">
        <v>1642</v>
      </c>
      <c r="H680" s="4" t="s">
        <v>4009</v>
      </c>
    </row>
    <row r="681" spans="1:8" ht="48" customHeight="1">
      <c r="A681" s="3" t="s">
        <v>2179</v>
      </c>
      <c r="B681" s="3" t="s">
        <v>2900</v>
      </c>
      <c r="C681" s="3" t="s">
        <v>1465</v>
      </c>
      <c r="D681" s="3" t="s">
        <v>2901</v>
      </c>
      <c r="E681" s="8">
        <v>6333</v>
      </c>
      <c r="F681" s="3" t="s">
        <v>1654</v>
      </c>
      <c r="G681" s="3" t="s">
        <v>1642</v>
      </c>
      <c r="H681" s="3" t="s">
        <v>4010</v>
      </c>
    </row>
    <row r="682" spans="1:8" ht="48" customHeight="1">
      <c r="A682" s="4" t="s">
        <v>2179</v>
      </c>
      <c r="B682" s="4" t="s">
        <v>1656</v>
      </c>
      <c r="C682" s="4" t="s">
        <v>1465</v>
      </c>
      <c r="D682" s="4" t="s">
        <v>1657</v>
      </c>
      <c r="E682" s="9">
        <v>6330</v>
      </c>
      <c r="F682" s="4" t="s">
        <v>1654</v>
      </c>
      <c r="G682" s="4" t="s">
        <v>1642</v>
      </c>
      <c r="H682" s="4" t="s">
        <v>4011</v>
      </c>
    </row>
    <row r="683" spans="1:8" ht="48" customHeight="1">
      <c r="A683" s="3" t="s">
        <v>2179</v>
      </c>
      <c r="B683" s="3" t="s">
        <v>1658</v>
      </c>
      <c r="C683" s="3" t="s">
        <v>1465</v>
      </c>
      <c r="D683" s="3" t="s">
        <v>1659</v>
      </c>
      <c r="E683" s="8">
        <v>6310</v>
      </c>
      <c r="F683" s="3" t="s">
        <v>1654</v>
      </c>
      <c r="G683" s="3" t="s">
        <v>1642</v>
      </c>
      <c r="H683" s="3" t="s">
        <v>4012</v>
      </c>
    </row>
    <row r="684" spans="1:8" ht="48" customHeight="1">
      <c r="A684" s="4" t="s">
        <v>2179</v>
      </c>
      <c r="B684" s="4" t="s">
        <v>4013</v>
      </c>
      <c r="C684" s="4" t="s">
        <v>1465</v>
      </c>
      <c r="D684" s="4" t="s">
        <v>4014</v>
      </c>
      <c r="E684" s="9">
        <v>2776</v>
      </c>
      <c r="F684" s="4" t="s">
        <v>1865</v>
      </c>
      <c r="G684" s="4" t="s">
        <v>1642</v>
      </c>
      <c r="H684" s="4" t="s">
        <v>4015</v>
      </c>
    </row>
    <row r="685" spans="1:8" ht="48" customHeight="1">
      <c r="A685" s="3" t="s">
        <v>2179</v>
      </c>
      <c r="B685" s="3" t="s">
        <v>4016</v>
      </c>
      <c r="C685" s="3" t="s">
        <v>1465</v>
      </c>
      <c r="D685" s="3" t="s">
        <v>4017</v>
      </c>
      <c r="E685" s="8">
        <v>2774</v>
      </c>
      <c r="F685" s="3" t="s">
        <v>1865</v>
      </c>
      <c r="G685" s="3" t="s">
        <v>1642</v>
      </c>
      <c r="H685" s="3" t="s">
        <v>4018</v>
      </c>
    </row>
    <row r="686" spans="1:8" ht="48" customHeight="1">
      <c r="A686" s="4" t="s">
        <v>2179</v>
      </c>
      <c r="B686" s="4" t="s">
        <v>4019</v>
      </c>
      <c r="C686" s="4" t="s">
        <v>1465</v>
      </c>
      <c r="D686" s="4" t="s">
        <v>4020</v>
      </c>
      <c r="E686" s="9">
        <v>2772</v>
      </c>
      <c r="F686" s="4" t="s">
        <v>1865</v>
      </c>
      <c r="G686" s="4" t="s">
        <v>1642</v>
      </c>
      <c r="H686" s="4" t="s">
        <v>4021</v>
      </c>
    </row>
    <row r="687" spans="1:8" ht="48" customHeight="1">
      <c r="A687" s="3" t="s">
        <v>2179</v>
      </c>
      <c r="B687" s="3" t="s">
        <v>4022</v>
      </c>
      <c r="C687" s="3" t="s">
        <v>1465</v>
      </c>
      <c r="D687" s="3" t="s">
        <v>4023</v>
      </c>
      <c r="E687" s="8">
        <v>2616</v>
      </c>
      <c r="F687" s="3" t="s">
        <v>1690</v>
      </c>
      <c r="G687" s="3" t="s">
        <v>1642</v>
      </c>
      <c r="H687" s="3" t="s">
        <v>4024</v>
      </c>
    </row>
    <row r="688" spans="1:8" ht="48" customHeight="1">
      <c r="A688" s="4" t="s">
        <v>2179</v>
      </c>
      <c r="B688" s="4" t="s">
        <v>2940</v>
      </c>
      <c r="C688" s="4" t="s">
        <v>1465</v>
      </c>
      <c r="D688" s="4" t="s">
        <v>2941</v>
      </c>
      <c r="E688" s="9">
        <v>2082</v>
      </c>
      <c r="F688" s="4" t="s">
        <v>1900</v>
      </c>
      <c r="G688" s="4" t="s">
        <v>1642</v>
      </c>
      <c r="H688" s="4" t="s">
        <v>4025</v>
      </c>
    </row>
    <row r="689" spans="1:8" ht="48" customHeight="1">
      <c r="A689" s="3" t="s">
        <v>2179</v>
      </c>
      <c r="B689" s="3" t="s">
        <v>3422</v>
      </c>
      <c r="C689" s="3" t="s">
        <v>1465</v>
      </c>
      <c r="D689" s="3" t="s">
        <v>3423</v>
      </c>
      <c r="E689" s="8">
        <v>1534</v>
      </c>
      <c r="F689" s="3" t="s">
        <v>1351</v>
      </c>
      <c r="G689" s="3" t="s">
        <v>1664</v>
      </c>
      <c r="H689" s="3" t="s">
        <v>4026</v>
      </c>
    </row>
    <row r="690" spans="1:8" ht="30" customHeight="1">
      <c r="A690" s="4" t="s">
        <v>2179</v>
      </c>
      <c r="B690" s="4" t="s">
        <v>2946</v>
      </c>
      <c r="C690" s="4" t="s">
        <v>1465</v>
      </c>
      <c r="D690" s="4" t="s">
        <v>2947</v>
      </c>
      <c r="E690" s="9">
        <v>1533</v>
      </c>
      <c r="F690" s="4" t="s">
        <v>1351</v>
      </c>
      <c r="G690" s="4" t="s">
        <v>1664</v>
      </c>
      <c r="H690" s="4" t="s">
        <v>4027</v>
      </c>
    </row>
    <row r="691" spans="1:8" ht="48" customHeight="1">
      <c r="A691" s="3" t="s">
        <v>2179</v>
      </c>
      <c r="B691" s="3" t="s">
        <v>4028</v>
      </c>
      <c r="C691" s="3" t="s">
        <v>1465</v>
      </c>
      <c r="D691" s="3" t="s">
        <v>4029</v>
      </c>
      <c r="E691" s="8">
        <v>1533</v>
      </c>
      <c r="F691" s="3" t="s">
        <v>1351</v>
      </c>
      <c r="G691" s="3" t="s">
        <v>1664</v>
      </c>
      <c r="H691" s="3" t="s">
        <v>4030</v>
      </c>
    </row>
    <row r="692" spans="1:8" ht="30" customHeight="1">
      <c r="A692" s="4" t="s">
        <v>2179</v>
      </c>
      <c r="B692" s="4" t="s">
        <v>2949</v>
      </c>
      <c r="C692" s="4" t="s">
        <v>1465</v>
      </c>
      <c r="D692" s="4" t="s">
        <v>2950</v>
      </c>
      <c r="E692" s="9">
        <v>1532</v>
      </c>
      <c r="F692" s="4" t="s">
        <v>1351</v>
      </c>
      <c r="G692" s="4" t="s">
        <v>1664</v>
      </c>
      <c r="H692" s="4" t="s">
        <v>4031</v>
      </c>
    </row>
    <row r="693" spans="1:8" ht="30" customHeight="1">
      <c r="A693" s="3" t="s">
        <v>2179</v>
      </c>
      <c r="B693" s="3" t="s">
        <v>2955</v>
      </c>
      <c r="C693" s="3" t="s">
        <v>1465</v>
      </c>
      <c r="D693" s="3" t="s">
        <v>2956</v>
      </c>
      <c r="E693" s="8">
        <v>1396</v>
      </c>
      <c r="F693" s="3" t="s">
        <v>1796</v>
      </c>
      <c r="G693" s="3" t="s">
        <v>1664</v>
      </c>
      <c r="H693" s="3" t="s">
        <v>4032</v>
      </c>
    </row>
    <row r="694" spans="1:8" ht="30" customHeight="1">
      <c r="A694" s="4" t="s">
        <v>2179</v>
      </c>
      <c r="B694" s="4" t="s">
        <v>4033</v>
      </c>
      <c r="C694" s="4" t="s">
        <v>1465</v>
      </c>
      <c r="D694" s="4" t="s">
        <v>4034</v>
      </c>
      <c r="E694" s="9">
        <v>1296</v>
      </c>
      <c r="F694" s="4" t="s">
        <v>2702</v>
      </c>
      <c r="G694" s="4" t="s">
        <v>1664</v>
      </c>
      <c r="H694" s="4" t="s">
        <v>4035</v>
      </c>
    </row>
    <row r="695" spans="1:8" ht="48" customHeight="1">
      <c r="A695" s="3" t="s">
        <v>2179</v>
      </c>
      <c r="B695" s="3" t="s">
        <v>2961</v>
      </c>
      <c r="C695" s="3" t="s">
        <v>1465</v>
      </c>
      <c r="D695" s="3" t="s">
        <v>2962</v>
      </c>
      <c r="E695" s="8">
        <v>1208</v>
      </c>
      <c r="F695" s="3" t="s">
        <v>1376</v>
      </c>
      <c r="G695" s="3" t="s">
        <v>1642</v>
      </c>
      <c r="H695" s="3" t="s">
        <v>4036</v>
      </c>
    </row>
    <row r="696" spans="1:8" ht="48" customHeight="1">
      <c r="A696" s="4" t="s">
        <v>2179</v>
      </c>
      <c r="B696" s="4" t="s">
        <v>2964</v>
      </c>
      <c r="C696" s="4" t="s">
        <v>1465</v>
      </c>
      <c r="D696" s="4" t="s">
        <v>2965</v>
      </c>
      <c r="E696" s="9">
        <v>1207</v>
      </c>
      <c r="F696" s="4" t="s">
        <v>1376</v>
      </c>
      <c r="G696" s="4" t="s">
        <v>1642</v>
      </c>
      <c r="H696" s="4" t="s">
        <v>4037</v>
      </c>
    </row>
    <row r="697" spans="1:8" ht="66" customHeight="1">
      <c r="A697" s="3" t="s">
        <v>2179</v>
      </c>
      <c r="B697" s="3" t="s">
        <v>2970</v>
      </c>
      <c r="C697" s="3" t="s">
        <v>1465</v>
      </c>
      <c r="D697" s="3" t="s">
        <v>2971</v>
      </c>
      <c r="E697" s="8">
        <v>1207</v>
      </c>
      <c r="F697" s="3" t="s">
        <v>1376</v>
      </c>
      <c r="G697" s="3" t="s">
        <v>1642</v>
      </c>
      <c r="H697" s="3" t="s">
        <v>4038</v>
      </c>
    </row>
    <row r="698" spans="1:8" ht="48" customHeight="1">
      <c r="A698" s="4" t="s">
        <v>2179</v>
      </c>
      <c r="B698" s="4" t="s">
        <v>4039</v>
      </c>
      <c r="C698" s="4" t="s">
        <v>1465</v>
      </c>
      <c r="D698" s="4" t="s">
        <v>4040</v>
      </c>
      <c r="E698" s="9">
        <v>1206</v>
      </c>
      <c r="F698" s="4" t="s">
        <v>1376</v>
      </c>
      <c r="G698" s="4" t="s">
        <v>1642</v>
      </c>
      <c r="H698" s="4" t="s">
        <v>4041</v>
      </c>
    </row>
    <row r="699" spans="1:8" ht="30" customHeight="1">
      <c r="A699" s="3" t="s">
        <v>2179</v>
      </c>
      <c r="B699" s="3" t="s">
        <v>2973</v>
      </c>
      <c r="C699" s="3" t="s">
        <v>1465</v>
      </c>
      <c r="D699" s="3" t="s">
        <v>2974</v>
      </c>
      <c r="E699" s="8">
        <v>1198</v>
      </c>
      <c r="F699" s="3" t="s">
        <v>1380</v>
      </c>
      <c r="G699" s="3" t="s">
        <v>1642</v>
      </c>
      <c r="H699" s="3" t="s">
        <v>4042</v>
      </c>
    </row>
    <row r="700" spans="1:8" ht="30" customHeight="1">
      <c r="A700" s="4" t="s">
        <v>2179</v>
      </c>
      <c r="B700" s="4" t="s">
        <v>2976</v>
      </c>
      <c r="C700" s="4" t="s">
        <v>1465</v>
      </c>
      <c r="D700" s="4" t="s">
        <v>2977</v>
      </c>
      <c r="E700" s="9">
        <v>1197</v>
      </c>
      <c r="F700" s="4" t="s">
        <v>1380</v>
      </c>
      <c r="G700" s="4" t="s">
        <v>1642</v>
      </c>
      <c r="H700" s="4" t="s">
        <v>4042</v>
      </c>
    </row>
    <row r="701" spans="1:8" ht="30" customHeight="1">
      <c r="A701" s="3" t="s">
        <v>738</v>
      </c>
      <c r="B701" s="3" t="s">
        <v>739</v>
      </c>
      <c r="C701" s="3" t="s">
        <v>1643</v>
      </c>
      <c r="D701" s="3" t="s">
        <v>1890</v>
      </c>
      <c r="E701" s="8">
        <v>2533</v>
      </c>
      <c r="F701" s="3" t="s">
        <v>1684</v>
      </c>
      <c r="G701" s="3" t="s">
        <v>1642</v>
      </c>
      <c r="H701" s="3" t="s">
        <v>4043</v>
      </c>
    </row>
    <row r="702" spans="1:8" ht="30" customHeight="1">
      <c r="A702" s="4" t="s">
        <v>2181</v>
      </c>
      <c r="B702" s="4" t="s">
        <v>1074</v>
      </c>
      <c r="C702" s="4" t="s">
        <v>1465</v>
      </c>
      <c r="D702" s="4" t="s">
        <v>2183</v>
      </c>
      <c r="E702" s="9">
        <v>4659</v>
      </c>
      <c r="F702" s="4" t="s">
        <v>2184</v>
      </c>
      <c r="G702" s="4" t="s">
        <v>1642</v>
      </c>
      <c r="H702" s="4" t="s">
        <v>4044</v>
      </c>
    </row>
    <row r="703" spans="1:8" ht="30" customHeight="1">
      <c r="A703" s="3" t="s">
        <v>2181</v>
      </c>
      <c r="B703" s="3" t="s">
        <v>4045</v>
      </c>
      <c r="C703" s="3" t="s">
        <v>1465</v>
      </c>
      <c r="D703" s="3" t="s">
        <v>4046</v>
      </c>
      <c r="E703" s="8">
        <v>4652</v>
      </c>
      <c r="F703" s="3" t="s">
        <v>2184</v>
      </c>
      <c r="G703" s="3" t="s">
        <v>1642</v>
      </c>
      <c r="H703" s="3" t="s">
        <v>4047</v>
      </c>
    </row>
    <row r="704" spans="1:8" ht="30" customHeight="1">
      <c r="A704" s="4" t="s">
        <v>2181</v>
      </c>
      <c r="B704" s="4" t="s">
        <v>4048</v>
      </c>
      <c r="C704" s="4" t="s">
        <v>1465</v>
      </c>
      <c r="D704" s="4" t="s">
        <v>4049</v>
      </c>
      <c r="E704" s="9">
        <v>2525</v>
      </c>
      <c r="F704" s="4" t="s">
        <v>1684</v>
      </c>
      <c r="G704" s="4" t="s">
        <v>1642</v>
      </c>
      <c r="H704" s="4" t="s">
        <v>4050</v>
      </c>
    </row>
    <row r="705" spans="1:8" ht="30" customHeight="1">
      <c r="A705" s="3" t="s">
        <v>2181</v>
      </c>
      <c r="B705" s="3" t="s">
        <v>4051</v>
      </c>
      <c r="C705" s="3" t="s">
        <v>1465</v>
      </c>
      <c r="D705" s="3" t="s">
        <v>2183</v>
      </c>
      <c r="E705" s="8">
        <v>1487</v>
      </c>
      <c r="F705" s="3" t="s">
        <v>1354</v>
      </c>
      <c r="G705" s="3" t="s">
        <v>1664</v>
      </c>
      <c r="H705" s="3" t="s">
        <v>4044</v>
      </c>
    </row>
    <row r="706" spans="1:8" ht="30" customHeight="1">
      <c r="A706" s="4" t="s">
        <v>2181</v>
      </c>
      <c r="B706" s="4" t="s">
        <v>4052</v>
      </c>
      <c r="C706" s="4" t="s">
        <v>1465</v>
      </c>
      <c r="D706" s="4" t="s">
        <v>4046</v>
      </c>
      <c r="E706" s="9">
        <v>1486</v>
      </c>
      <c r="F706" s="4" t="s">
        <v>1354</v>
      </c>
      <c r="G706" s="4" t="s">
        <v>1664</v>
      </c>
      <c r="H706" s="4" t="s">
        <v>4047</v>
      </c>
    </row>
    <row r="707" spans="1:8" ht="48" customHeight="1">
      <c r="A707" s="3" t="s">
        <v>2181</v>
      </c>
      <c r="B707" s="3" t="s">
        <v>4053</v>
      </c>
      <c r="C707" s="3" t="s">
        <v>1465</v>
      </c>
      <c r="D707" s="3" t="s">
        <v>4054</v>
      </c>
      <c r="E707" s="8">
        <v>1461</v>
      </c>
      <c r="F707" s="3" t="s">
        <v>1354</v>
      </c>
      <c r="G707" s="3" t="s">
        <v>1664</v>
      </c>
      <c r="H707" s="3" t="s">
        <v>4055</v>
      </c>
    </row>
    <row r="708" spans="1:8" ht="48" customHeight="1">
      <c r="A708" s="4" t="s">
        <v>2181</v>
      </c>
      <c r="B708" s="4" t="s">
        <v>4056</v>
      </c>
      <c r="C708" s="4" t="s">
        <v>1465</v>
      </c>
      <c r="D708" s="4" t="s">
        <v>4057</v>
      </c>
      <c r="E708" s="9">
        <v>1119</v>
      </c>
      <c r="F708" s="4" t="s">
        <v>1354</v>
      </c>
      <c r="G708" s="4" t="s">
        <v>1664</v>
      </c>
      <c r="H708" s="4" t="s">
        <v>4058</v>
      </c>
    </row>
    <row r="709" spans="1:8" ht="30" customHeight="1">
      <c r="A709" s="3" t="s">
        <v>2394</v>
      </c>
      <c r="B709" s="3" t="s">
        <v>2396</v>
      </c>
      <c r="C709" s="3" t="s">
        <v>1465</v>
      </c>
      <c r="D709" s="3" t="s">
        <v>2397</v>
      </c>
      <c r="E709" s="8">
        <v>1426</v>
      </c>
      <c r="F709" s="3" t="s">
        <v>1356</v>
      </c>
      <c r="G709" s="3" t="s">
        <v>1664</v>
      </c>
      <c r="H709" s="3" t="s">
        <v>4059</v>
      </c>
    </row>
    <row r="710" spans="1:8" ht="30" customHeight="1">
      <c r="A710" s="4" t="s">
        <v>2350</v>
      </c>
      <c r="B710" s="4" t="s">
        <v>2352</v>
      </c>
      <c r="C710" s="4" t="s">
        <v>1465</v>
      </c>
      <c r="D710" s="4" t="s">
        <v>2353</v>
      </c>
      <c r="E710" s="9">
        <v>1431</v>
      </c>
      <c r="F710" s="4" t="s">
        <v>1356</v>
      </c>
      <c r="G710" s="4" t="s">
        <v>1664</v>
      </c>
      <c r="H710" s="4" t="s">
        <v>4060</v>
      </c>
    </row>
    <row r="711" spans="1:8" ht="30" customHeight="1">
      <c r="A711" s="3" t="s">
        <v>2354</v>
      </c>
      <c r="B711" s="3" t="s">
        <v>2356</v>
      </c>
      <c r="C711" s="3" t="s">
        <v>1465</v>
      </c>
      <c r="D711" s="3" t="s">
        <v>2357</v>
      </c>
      <c r="E711" s="8">
        <v>1431</v>
      </c>
      <c r="F711" s="3" t="s">
        <v>1356</v>
      </c>
      <c r="G711" s="3" t="s">
        <v>1664</v>
      </c>
      <c r="H711" s="3" t="s">
        <v>4061</v>
      </c>
    </row>
    <row r="712" spans="1:8" ht="48" customHeight="1">
      <c r="A712" s="4" t="s">
        <v>2354</v>
      </c>
      <c r="B712" s="4" t="s">
        <v>4062</v>
      </c>
      <c r="C712" s="4" t="s">
        <v>1465</v>
      </c>
      <c r="D712" s="4" t="s">
        <v>4063</v>
      </c>
      <c r="E712" s="9">
        <v>1429</v>
      </c>
      <c r="F712" s="4" t="s">
        <v>1356</v>
      </c>
      <c r="G712" s="4" t="s">
        <v>1664</v>
      </c>
      <c r="H712" s="4" t="s">
        <v>4064</v>
      </c>
    </row>
    <row r="713" spans="1:8" ht="30" customHeight="1">
      <c r="A713" s="3" t="s">
        <v>2221</v>
      </c>
      <c r="B713" s="3" t="s">
        <v>2223</v>
      </c>
      <c r="C713" s="3" t="s">
        <v>1465</v>
      </c>
      <c r="D713" s="3" t="s">
        <v>2224</v>
      </c>
      <c r="E713" s="8">
        <v>2834</v>
      </c>
      <c r="F713" s="3" t="s">
        <v>2225</v>
      </c>
      <c r="G713" s="3" t="s">
        <v>1664</v>
      </c>
      <c r="H713" s="3" t="s">
        <v>4065</v>
      </c>
    </row>
    <row r="714" spans="1:8" ht="30" customHeight="1">
      <c r="A714" s="4" t="s">
        <v>635</v>
      </c>
      <c r="B714" s="4" t="s">
        <v>636</v>
      </c>
      <c r="C714" s="4" t="s">
        <v>1643</v>
      </c>
      <c r="D714" s="4" t="s">
        <v>1853</v>
      </c>
      <c r="E714" s="9">
        <v>4134</v>
      </c>
      <c r="F714" s="4" t="s">
        <v>1713</v>
      </c>
      <c r="G714" s="4" t="s">
        <v>1642</v>
      </c>
      <c r="H714" s="4" t="s">
        <v>4066</v>
      </c>
    </row>
    <row r="715" spans="1:8" ht="48" customHeight="1">
      <c r="A715" s="3" t="s">
        <v>635</v>
      </c>
      <c r="B715" s="3" t="s">
        <v>4013</v>
      </c>
      <c r="C715" s="3" t="s">
        <v>1465</v>
      </c>
      <c r="D715" s="3" t="s">
        <v>4014</v>
      </c>
      <c r="E715" s="8">
        <v>2776</v>
      </c>
      <c r="F715" s="3" t="s">
        <v>1865</v>
      </c>
      <c r="G715" s="3" t="s">
        <v>1642</v>
      </c>
      <c r="H715" s="3" t="s">
        <v>4067</v>
      </c>
    </row>
    <row r="716" spans="1:8" ht="48" customHeight="1">
      <c r="A716" s="4" t="s">
        <v>635</v>
      </c>
      <c r="B716" s="4" t="s">
        <v>4016</v>
      </c>
      <c r="C716" s="4" t="s">
        <v>1465</v>
      </c>
      <c r="D716" s="4" t="s">
        <v>4017</v>
      </c>
      <c r="E716" s="9">
        <v>2774</v>
      </c>
      <c r="F716" s="4" t="s">
        <v>1865</v>
      </c>
      <c r="G716" s="4" t="s">
        <v>1642</v>
      </c>
      <c r="H716" s="4" t="s">
        <v>4068</v>
      </c>
    </row>
    <row r="717" spans="1:8" ht="30" customHeight="1">
      <c r="A717" s="3" t="s">
        <v>635</v>
      </c>
      <c r="B717" s="3" t="s">
        <v>3419</v>
      </c>
      <c r="C717" s="3" t="s">
        <v>1465</v>
      </c>
      <c r="D717" s="3" t="s">
        <v>3420</v>
      </c>
      <c r="E717" s="8">
        <v>2772</v>
      </c>
      <c r="F717" s="3" t="s">
        <v>1865</v>
      </c>
      <c r="G717" s="3" t="s">
        <v>1642</v>
      </c>
      <c r="H717" s="3" t="s">
        <v>4069</v>
      </c>
    </row>
    <row r="718" spans="1:8" ht="48" customHeight="1">
      <c r="A718" s="4" t="s">
        <v>635</v>
      </c>
      <c r="B718" s="4" t="s">
        <v>4019</v>
      </c>
      <c r="C718" s="4" t="s">
        <v>1465</v>
      </c>
      <c r="D718" s="4" t="s">
        <v>4020</v>
      </c>
      <c r="E718" s="9">
        <v>2772</v>
      </c>
      <c r="F718" s="4" t="s">
        <v>1865</v>
      </c>
      <c r="G718" s="4" t="s">
        <v>1642</v>
      </c>
      <c r="H718" s="4" t="s">
        <v>4070</v>
      </c>
    </row>
    <row r="719" spans="1:8" ht="30" customHeight="1">
      <c r="A719" s="3" t="s">
        <v>635</v>
      </c>
      <c r="B719" s="3" t="s">
        <v>4071</v>
      </c>
      <c r="C719" s="3" t="s">
        <v>1465</v>
      </c>
      <c r="D719" s="3" t="s">
        <v>4072</v>
      </c>
      <c r="E719" s="8">
        <v>1568</v>
      </c>
      <c r="F719" s="3" t="s">
        <v>1672</v>
      </c>
      <c r="G719" s="3" t="s">
        <v>1664</v>
      </c>
      <c r="H719" s="3" t="s">
        <v>4073</v>
      </c>
    </row>
    <row r="720" spans="1:8" ht="30" customHeight="1">
      <c r="A720" s="4" t="s">
        <v>635</v>
      </c>
      <c r="B720" s="4" t="s">
        <v>4074</v>
      </c>
      <c r="C720" s="4" t="s">
        <v>1465</v>
      </c>
      <c r="D720" s="4" t="s">
        <v>4075</v>
      </c>
      <c r="E720" s="9">
        <v>1566</v>
      </c>
      <c r="F720" s="4" t="s">
        <v>1672</v>
      </c>
      <c r="G720" s="4" t="s">
        <v>1664</v>
      </c>
      <c r="H720" s="4" t="s">
        <v>4076</v>
      </c>
    </row>
    <row r="721" spans="1:8" ht="30" customHeight="1">
      <c r="A721" s="3" t="s">
        <v>635</v>
      </c>
      <c r="B721" s="3" t="s">
        <v>4077</v>
      </c>
      <c r="C721" s="3" t="s">
        <v>1465</v>
      </c>
      <c r="D721" s="3" t="s">
        <v>4078</v>
      </c>
      <c r="E721" s="8">
        <v>1195</v>
      </c>
      <c r="F721" s="3" t="s">
        <v>1380</v>
      </c>
      <c r="G721" s="3" t="s">
        <v>1642</v>
      </c>
      <c r="H721" s="3" t="s">
        <v>4079</v>
      </c>
    </row>
    <row r="722" spans="1:8" ht="30" customHeight="1">
      <c r="A722" s="4" t="s">
        <v>2358</v>
      </c>
      <c r="B722" s="4" t="s">
        <v>2360</v>
      </c>
      <c r="C722" s="4" t="s">
        <v>1465</v>
      </c>
      <c r="D722" s="4" t="s">
        <v>2361</v>
      </c>
      <c r="E722" s="9">
        <v>1431</v>
      </c>
      <c r="F722" s="4" t="s">
        <v>1356</v>
      </c>
      <c r="G722" s="4" t="s">
        <v>1664</v>
      </c>
      <c r="H722" s="4" t="s">
        <v>4080</v>
      </c>
    </row>
    <row r="723" spans="1:8" ht="30" customHeight="1">
      <c r="A723" s="3" t="s">
        <v>2358</v>
      </c>
      <c r="B723" s="3" t="s">
        <v>4081</v>
      </c>
      <c r="C723" s="3" t="s">
        <v>1465</v>
      </c>
      <c r="D723" s="3" t="s">
        <v>4082</v>
      </c>
      <c r="E723" s="8">
        <v>1431</v>
      </c>
      <c r="F723" s="3" t="s">
        <v>1356</v>
      </c>
      <c r="G723" s="3" t="s">
        <v>1664</v>
      </c>
      <c r="H723" s="3" t="s">
        <v>4083</v>
      </c>
    </row>
    <row r="724" spans="1:8" ht="48" customHeight="1">
      <c r="A724" s="4" t="s">
        <v>2358</v>
      </c>
      <c r="B724" s="4" t="s">
        <v>4084</v>
      </c>
      <c r="C724" s="4" t="s">
        <v>1465</v>
      </c>
      <c r="D724" s="4" t="s">
        <v>4085</v>
      </c>
      <c r="E724" s="9">
        <v>1430</v>
      </c>
      <c r="F724" s="4" t="s">
        <v>1356</v>
      </c>
      <c r="G724" s="4" t="s">
        <v>1664</v>
      </c>
      <c r="H724" s="4" t="s">
        <v>4086</v>
      </c>
    </row>
    <row r="725" spans="1:8" ht="48" customHeight="1">
      <c r="A725" s="3" t="s">
        <v>2358</v>
      </c>
      <c r="B725" s="3" t="s">
        <v>4087</v>
      </c>
      <c r="C725" s="3" t="s">
        <v>1465</v>
      </c>
      <c r="D725" s="3" t="s">
        <v>4088</v>
      </c>
      <c r="E725" s="8">
        <v>1427</v>
      </c>
      <c r="F725" s="3" t="s">
        <v>1356</v>
      </c>
      <c r="G725" s="3" t="s">
        <v>1664</v>
      </c>
      <c r="H725" s="3" t="s">
        <v>4089</v>
      </c>
    </row>
    <row r="726" spans="1:8" ht="30" customHeight="1">
      <c r="A726" s="4" t="s">
        <v>2490</v>
      </c>
      <c r="B726" s="4" t="s">
        <v>2492</v>
      </c>
      <c r="C726" s="4" t="s">
        <v>1465</v>
      </c>
      <c r="D726" s="4" t="s">
        <v>2493</v>
      </c>
      <c r="E726" s="9">
        <v>1166</v>
      </c>
      <c r="F726" s="4" t="s">
        <v>1356</v>
      </c>
      <c r="G726" s="4" t="s">
        <v>1664</v>
      </c>
      <c r="H726" s="4" t="s">
        <v>4090</v>
      </c>
    </row>
    <row r="727" spans="1:8" ht="30" customHeight="1">
      <c r="A727" s="3" t="s">
        <v>2517</v>
      </c>
      <c r="B727" s="3" t="s">
        <v>2013</v>
      </c>
      <c r="C727" s="3" t="s">
        <v>1465</v>
      </c>
      <c r="D727" s="3" t="s">
        <v>3412</v>
      </c>
      <c r="E727" s="8">
        <v>1429</v>
      </c>
      <c r="F727" s="3" t="s">
        <v>1356</v>
      </c>
      <c r="G727" s="3" t="s">
        <v>1664</v>
      </c>
      <c r="H727" s="3" t="s">
        <v>4091</v>
      </c>
    </row>
    <row r="728" spans="1:8" ht="48" customHeight="1">
      <c r="A728" s="4" t="s">
        <v>2517</v>
      </c>
      <c r="B728" s="4" t="s">
        <v>4087</v>
      </c>
      <c r="C728" s="4" t="s">
        <v>1465</v>
      </c>
      <c r="D728" s="4" t="s">
        <v>4088</v>
      </c>
      <c r="E728" s="9">
        <v>1427</v>
      </c>
      <c r="F728" s="4" t="s">
        <v>1356</v>
      </c>
      <c r="G728" s="4" t="s">
        <v>1664</v>
      </c>
      <c r="H728" s="4" t="s">
        <v>4092</v>
      </c>
    </row>
    <row r="729" spans="1:8" ht="30" customHeight="1">
      <c r="A729" s="3" t="s">
        <v>2517</v>
      </c>
      <c r="B729" s="3" t="s">
        <v>2011</v>
      </c>
      <c r="C729" s="3" t="s">
        <v>1465</v>
      </c>
      <c r="D729" s="3" t="s">
        <v>2012</v>
      </c>
      <c r="E729" s="8">
        <v>1082</v>
      </c>
      <c r="F729" s="3" t="s">
        <v>1376</v>
      </c>
      <c r="G729" s="3" t="s">
        <v>1642</v>
      </c>
      <c r="H729" s="3" t="s">
        <v>4093</v>
      </c>
    </row>
    <row r="730" spans="1:8" ht="30" customHeight="1">
      <c r="A730" s="4" t="s">
        <v>2362</v>
      </c>
      <c r="B730" s="4" t="s">
        <v>2364</v>
      </c>
      <c r="C730" s="4" t="s">
        <v>1465</v>
      </c>
      <c r="D730" s="4" t="s">
        <v>2365</v>
      </c>
      <c r="E730" s="9">
        <v>1431</v>
      </c>
      <c r="F730" s="4" t="s">
        <v>1356</v>
      </c>
      <c r="G730" s="4" t="s">
        <v>1664</v>
      </c>
      <c r="H730" s="4" t="s">
        <v>4094</v>
      </c>
    </row>
    <row r="731" spans="1:8" ht="48" customHeight="1">
      <c r="A731" s="3" t="s">
        <v>2362</v>
      </c>
      <c r="B731" s="3" t="s">
        <v>4095</v>
      </c>
      <c r="C731" s="3" t="s">
        <v>1465</v>
      </c>
      <c r="D731" s="3" t="s">
        <v>4096</v>
      </c>
      <c r="E731" s="8">
        <v>1430</v>
      </c>
      <c r="F731" s="3" t="s">
        <v>1356</v>
      </c>
      <c r="G731" s="3" t="s">
        <v>1664</v>
      </c>
      <c r="H731" s="3" t="s">
        <v>4097</v>
      </c>
    </row>
    <row r="732" spans="1:8" ht="30" customHeight="1">
      <c r="A732" s="4" t="s">
        <v>2519</v>
      </c>
      <c r="B732" s="4" t="s">
        <v>2521</v>
      </c>
      <c r="C732" s="4" t="s">
        <v>1465</v>
      </c>
      <c r="D732" s="4" t="s">
        <v>2522</v>
      </c>
      <c r="E732" s="9">
        <v>1050</v>
      </c>
      <c r="F732" s="4" t="s">
        <v>1394</v>
      </c>
      <c r="G732" s="4" t="s">
        <v>1664</v>
      </c>
      <c r="H732" s="4" t="s">
        <v>4098</v>
      </c>
    </row>
    <row r="733" spans="1:8" ht="48" customHeight="1">
      <c r="A733" s="3" t="s">
        <v>2366</v>
      </c>
      <c r="B733" s="3" t="s">
        <v>2368</v>
      </c>
      <c r="C733" s="3" t="s">
        <v>1465</v>
      </c>
      <c r="D733" s="3" t="s">
        <v>2369</v>
      </c>
      <c r="E733" s="8">
        <v>1431</v>
      </c>
      <c r="F733" s="3" t="s">
        <v>1356</v>
      </c>
      <c r="G733" s="3" t="s">
        <v>1664</v>
      </c>
      <c r="H733" s="3" t="s">
        <v>4099</v>
      </c>
    </row>
    <row r="734" spans="1:8" ht="30" customHeight="1">
      <c r="A734" s="4" t="s">
        <v>2366</v>
      </c>
      <c r="B734" s="4" t="s">
        <v>4100</v>
      </c>
      <c r="C734" s="4" t="s">
        <v>1465</v>
      </c>
      <c r="D734" s="4" t="s">
        <v>4101</v>
      </c>
      <c r="E734" s="9">
        <v>1078</v>
      </c>
      <c r="F734" s="4" t="s">
        <v>1356</v>
      </c>
      <c r="G734" s="4" t="s">
        <v>1664</v>
      </c>
      <c r="H734" s="4" t="s">
        <v>4102</v>
      </c>
    </row>
    <row r="735" spans="1:8" ht="48" customHeight="1">
      <c r="A735" s="3" t="s">
        <v>2386</v>
      </c>
      <c r="B735" s="3" t="s">
        <v>2388</v>
      </c>
      <c r="C735" s="3" t="s">
        <v>1465</v>
      </c>
      <c r="D735" s="3" t="s">
        <v>2389</v>
      </c>
      <c r="E735" s="8">
        <v>1430</v>
      </c>
      <c r="F735" s="3" t="s">
        <v>1356</v>
      </c>
      <c r="G735" s="3" t="s">
        <v>1664</v>
      </c>
      <c r="H735" s="3" t="s">
        <v>4103</v>
      </c>
    </row>
    <row r="736" spans="1:8" ht="30" customHeight="1">
      <c r="A736" s="4" t="s">
        <v>2386</v>
      </c>
      <c r="B736" s="4" t="s">
        <v>2714</v>
      </c>
      <c r="C736" s="4" t="s">
        <v>1465</v>
      </c>
      <c r="D736" s="4" t="s">
        <v>2715</v>
      </c>
      <c r="E736" s="9">
        <v>1430</v>
      </c>
      <c r="F736" s="4" t="s">
        <v>1356</v>
      </c>
      <c r="G736" s="4" t="s">
        <v>1664</v>
      </c>
      <c r="H736" s="4" t="s">
        <v>4104</v>
      </c>
    </row>
    <row r="737" spans="1:8" ht="48" customHeight="1">
      <c r="A737" s="3" t="s">
        <v>2386</v>
      </c>
      <c r="B737" s="3" t="s">
        <v>4087</v>
      </c>
      <c r="C737" s="3" t="s">
        <v>1465</v>
      </c>
      <c r="D737" s="3" t="s">
        <v>4088</v>
      </c>
      <c r="E737" s="8">
        <v>1427</v>
      </c>
      <c r="F737" s="3" t="s">
        <v>1356</v>
      </c>
      <c r="G737" s="3" t="s">
        <v>1664</v>
      </c>
      <c r="H737" s="3" t="s">
        <v>4105</v>
      </c>
    </row>
    <row r="738" spans="1:8" ht="30" customHeight="1">
      <c r="A738" s="4" t="s">
        <v>2386</v>
      </c>
      <c r="B738" s="4" t="s">
        <v>3659</v>
      </c>
      <c r="C738" s="4" t="s">
        <v>1465</v>
      </c>
      <c r="D738" s="4" t="s">
        <v>3660</v>
      </c>
      <c r="E738" s="9">
        <v>1427</v>
      </c>
      <c r="F738" s="4" t="s">
        <v>1356</v>
      </c>
      <c r="G738" s="4" t="s">
        <v>1664</v>
      </c>
      <c r="H738" s="4" t="s">
        <v>4106</v>
      </c>
    </row>
    <row r="739" spans="1:8" ht="48" customHeight="1">
      <c r="A739" s="3" t="s">
        <v>2370</v>
      </c>
      <c r="B739" s="3" t="s">
        <v>2372</v>
      </c>
      <c r="C739" s="3" t="s">
        <v>1465</v>
      </c>
      <c r="D739" s="3" t="s">
        <v>2373</v>
      </c>
      <c r="E739" s="8">
        <v>1431</v>
      </c>
      <c r="F739" s="3" t="s">
        <v>1356</v>
      </c>
      <c r="G739" s="3" t="s">
        <v>1664</v>
      </c>
      <c r="H739" s="3" t="s">
        <v>4107</v>
      </c>
    </row>
    <row r="740" spans="1:8" ht="30" customHeight="1">
      <c r="A740" s="4" t="s">
        <v>2370</v>
      </c>
      <c r="B740" s="4" t="s">
        <v>1922</v>
      </c>
      <c r="C740" s="4" t="s">
        <v>1465</v>
      </c>
      <c r="D740" s="4" t="s">
        <v>1923</v>
      </c>
      <c r="E740" s="9">
        <v>1429</v>
      </c>
      <c r="F740" s="4" t="s">
        <v>1356</v>
      </c>
      <c r="G740" s="4" t="s">
        <v>1664</v>
      </c>
      <c r="H740" s="4" t="s">
        <v>4108</v>
      </c>
    </row>
    <row r="741" spans="1:8" ht="48" customHeight="1">
      <c r="A741" s="3" t="s">
        <v>2370</v>
      </c>
      <c r="B741" s="3" t="s">
        <v>4087</v>
      </c>
      <c r="C741" s="3" t="s">
        <v>1465</v>
      </c>
      <c r="D741" s="3" t="s">
        <v>4088</v>
      </c>
      <c r="E741" s="8">
        <v>1427</v>
      </c>
      <c r="F741" s="3" t="s">
        <v>1356</v>
      </c>
      <c r="G741" s="3" t="s">
        <v>1664</v>
      </c>
      <c r="H741" s="3" t="s">
        <v>4109</v>
      </c>
    </row>
    <row r="742" spans="1:8" ht="30" customHeight="1">
      <c r="A742" s="4" t="s">
        <v>2374</v>
      </c>
      <c r="B742" s="4" t="s">
        <v>2376</v>
      </c>
      <c r="C742" s="4" t="s">
        <v>1465</v>
      </c>
      <c r="D742" s="4" t="s">
        <v>2377</v>
      </c>
      <c r="E742" s="9">
        <v>1431</v>
      </c>
      <c r="F742" s="4" t="s">
        <v>1356</v>
      </c>
      <c r="G742" s="4" t="s">
        <v>1664</v>
      </c>
      <c r="H742" s="4" t="s">
        <v>4110</v>
      </c>
    </row>
    <row r="743" spans="1:8" ht="30" customHeight="1">
      <c r="A743" s="3" t="s">
        <v>585</v>
      </c>
      <c r="B743" s="3" t="s">
        <v>2918</v>
      </c>
      <c r="C743" s="3" t="s">
        <v>1643</v>
      </c>
      <c r="D743" s="3" t="s">
        <v>1860</v>
      </c>
      <c r="E743" s="8">
        <v>4098</v>
      </c>
      <c r="F743" s="3" t="s">
        <v>2919</v>
      </c>
      <c r="G743" s="3" t="s">
        <v>1664</v>
      </c>
      <c r="H743" s="3" t="s">
        <v>4111</v>
      </c>
    </row>
    <row r="744" spans="1:8" ht="30" customHeight="1">
      <c r="A744" s="4" t="s">
        <v>585</v>
      </c>
      <c r="B744" s="4" t="s">
        <v>586</v>
      </c>
      <c r="C744" s="4" t="s">
        <v>1643</v>
      </c>
      <c r="D744" s="4" t="s">
        <v>1860</v>
      </c>
      <c r="E744" s="9">
        <v>3860</v>
      </c>
      <c r="F744" s="4" t="s">
        <v>1861</v>
      </c>
      <c r="G744" s="4" t="s">
        <v>1642</v>
      </c>
      <c r="H744" s="4" t="s">
        <v>4111</v>
      </c>
    </row>
    <row r="745" spans="1:8" ht="30" customHeight="1">
      <c r="A745" s="3" t="s">
        <v>585</v>
      </c>
      <c r="B745" s="3" t="s">
        <v>2931</v>
      </c>
      <c r="C745" s="3" t="s">
        <v>1643</v>
      </c>
      <c r="D745" s="3" t="s">
        <v>2932</v>
      </c>
      <c r="E745" s="8">
        <v>2621</v>
      </c>
      <c r="F745" s="3" t="s">
        <v>1690</v>
      </c>
      <c r="G745" s="3" t="s">
        <v>1642</v>
      </c>
      <c r="H745" s="3" t="s">
        <v>4111</v>
      </c>
    </row>
    <row r="746" spans="1:8" ht="48" customHeight="1">
      <c r="A746" s="4" t="s">
        <v>585</v>
      </c>
      <c r="B746" s="4" t="s">
        <v>2921</v>
      </c>
      <c r="C746" s="4" t="s">
        <v>1465</v>
      </c>
      <c r="D746" s="4" t="s">
        <v>2922</v>
      </c>
      <c r="E746" s="9">
        <v>2681</v>
      </c>
      <c r="F746" s="4" t="s">
        <v>2923</v>
      </c>
      <c r="G746" s="4" t="s">
        <v>1664</v>
      </c>
      <c r="H746" s="4" t="s">
        <v>4112</v>
      </c>
    </row>
    <row r="747" spans="1:8" ht="30" customHeight="1">
      <c r="A747" s="3" t="s">
        <v>585</v>
      </c>
      <c r="B747" s="3" t="s">
        <v>4113</v>
      </c>
      <c r="C747" s="3" t="s">
        <v>1465</v>
      </c>
      <c r="D747" s="3" t="s">
        <v>4114</v>
      </c>
      <c r="E747" s="8">
        <v>2536</v>
      </c>
      <c r="F747" s="3" t="s">
        <v>1684</v>
      </c>
      <c r="G747" s="3" t="s">
        <v>1642</v>
      </c>
      <c r="H747" s="3" t="s">
        <v>4115</v>
      </c>
    </row>
    <row r="748" spans="1:8" ht="48" customHeight="1">
      <c r="A748" s="4" t="s">
        <v>585</v>
      </c>
      <c r="B748" s="4" t="s">
        <v>2318</v>
      </c>
      <c r="C748" s="4" t="s">
        <v>1465</v>
      </c>
      <c r="D748" s="4" t="s">
        <v>2319</v>
      </c>
      <c r="E748" s="9">
        <v>2175</v>
      </c>
      <c r="F748" s="4" t="s">
        <v>2320</v>
      </c>
      <c r="G748" s="4" t="s">
        <v>1664</v>
      </c>
      <c r="H748" s="4" t="s">
        <v>4116</v>
      </c>
    </row>
    <row r="749" spans="1:8" ht="30" customHeight="1">
      <c r="A749" s="3" t="s">
        <v>585</v>
      </c>
      <c r="B749" s="3" t="s">
        <v>3456</v>
      </c>
      <c r="C749" s="3" t="s">
        <v>1465</v>
      </c>
      <c r="D749" s="3" t="s">
        <v>3457</v>
      </c>
      <c r="E749" s="8">
        <v>1306</v>
      </c>
      <c r="F749" s="3" t="s">
        <v>2702</v>
      </c>
      <c r="G749" s="3" t="s">
        <v>1664</v>
      </c>
      <c r="H749" s="3" t="s">
        <v>4117</v>
      </c>
    </row>
    <row r="750" spans="1:8" ht="48" customHeight="1">
      <c r="A750" s="4" t="s">
        <v>585</v>
      </c>
      <c r="B750" s="4" t="s">
        <v>4118</v>
      </c>
      <c r="C750" s="4" t="s">
        <v>1465</v>
      </c>
      <c r="D750" s="4" t="s">
        <v>4119</v>
      </c>
      <c r="E750" s="9">
        <v>1099</v>
      </c>
      <c r="F750" s="4" t="s">
        <v>1693</v>
      </c>
      <c r="G750" s="4" t="s">
        <v>1664</v>
      </c>
      <c r="H750" s="4" t="s">
        <v>4116</v>
      </c>
    </row>
    <row r="751" spans="1:8" ht="30" customHeight="1">
      <c r="A751" s="3" t="s">
        <v>2219</v>
      </c>
      <c r="B751" s="3" t="s">
        <v>1785</v>
      </c>
      <c r="C751" s="3" t="s">
        <v>1465</v>
      </c>
      <c r="D751" s="3" t="s">
        <v>1786</v>
      </c>
      <c r="E751" s="8">
        <v>2848</v>
      </c>
      <c r="F751" s="3" t="s">
        <v>1787</v>
      </c>
      <c r="G751" s="3" t="s">
        <v>1642</v>
      </c>
      <c r="H751" s="3" t="s">
        <v>4120</v>
      </c>
    </row>
    <row r="752" spans="1:8" ht="30" customHeight="1">
      <c r="A752" s="4" t="s">
        <v>2219</v>
      </c>
      <c r="B752" s="4" t="s">
        <v>1789</v>
      </c>
      <c r="C752" s="4" t="s">
        <v>1465</v>
      </c>
      <c r="D752" s="4" t="s">
        <v>1790</v>
      </c>
      <c r="E752" s="9">
        <v>2848</v>
      </c>
      <c r="F752" s="4" t="s">
        <v>1787</v>
      </c>
      <c r="G752" s="4" t="s">
        <v>1642</v>
      </c>
      <c r="H752" s="4" t="s">
        <v>4120</v>
      </c>
    </row>
    <row r="753" spans="1:8" ht="30" customHeight="1">
      <c r="A753" s="3" t="s">
        <v>2219</v>
      </c>
      <c r="B753" s="3" t="s">
        <v>1791</v>
      </c>
      <c r="C753" s="3" t="s">
        <v>1465</v>
      </c>
      <c r="D753" s="3" t="s">
        <v>1792</v>
      </c>
      <c r="E753" s="8">
        <v>1825</v>
      </c>
      <c r="F753" s="3" t="s">
        <v>1793</v>
      </c>
      <c r="G753" s="3" t="s">
        <v>1642</v>
      </c>
      <c r="H753" s="3" t="s">
        <v>4121</v>
      </c>
    </row>
    <row r="754" spans="1:8" ht="48" customHeight="1">
      <c r="A754" s="4" t="s">
        <v>2219</v>
      </c>
      <c r="B754" s="4" t="s">
        <v>4122</v>
      </c>
      <c r="C754" s="4" t="s">
        <v>1465</v>
      </c>
      <c r="D754" s="4" t="s">
        <v>4123</v>
      </c>
      <c r="E754" s="9">
        <v>1429</v>
      </c>
      <c r="F754" s="4" t="s">
        <v>1356</v>
      </c>
      <c r="G754" s="4" t="s">
        <v>1664</v>
      </c>
      <c r="H754" s="4" t="s">
        <v>4124</v>
      </c>
    </row>
    <row r="755" spans="1:8" ht="30" customHeight="1">
      <c r="A755" s="3" t="s">
        <v>2219</v>
      </c>
      <c r="B755" s="3" t="s">
        <v>4125</v>
      </c>
      <c r="C755" s="3" t="s">
        <v>1465</v>
      </c>
      <c r="D755" s="3" t="s">
        <v>4126</v>
      </c>
      <c r="E755" s="8">
        <v>1396</v>
      </c>
      <c r="F755" s="3" t="s">
        <v>1796</v>
      </c>
      <c r="G755" s="3" t="s">
        <v>1664</v>
      </c>
      <c r="H755" s="3" t="s">
        <v>4127</v>
      </c>
    </row>
    <row r="756" spans="1:8" ht="48" customHeight="1">
      <c r="A756" s="4" t="s">
        <v>2219</v>
      </c>
      <c r="B756" s="4" t="s">
        <v>4128</v>
      </c>
      <c r="C756" s="4" t="s">
        <v>1465</v>
      </c>
      <c r="D756" s="4" t="s">
        <v>4129</v>
      </c>
      <c r="E756" s="9">
        <v>1127</v>
      </c>
      <c r="F756" s="4" t="s">
        <v>1376</v>
      </c>
      <c r="G756" s="4" t="s">
        <v>1642</v>
      </c>
      <c r="H756" s="4" t="s">
        <v>4130</v>
      </c>
    </row>
    <row r="757" spans="1:8" ht="30" customHeight="1">
      <c r="A757" s="3" t="s">
        <v>649</v>
      </c>
      <c r="B757" s="3" t="s">
        <v>650</v>
      </c>
      <c r="C757" s="3" t="s">
        <v>1643</v>
      </c>
      <c r="D757" s="3" t="s">
        <v>1894</v>
      </c>
      <c r="E757" s="8">
        <v>2438</v>
      </c>
      <c r="F757" s="3" t="s">
        <v>1684</v>
      </c>
      <c r="G757" s="3" t="s">
        <v>1642</v>
      </c>
      <c r="H757" s="3" t="s">
        <v>4131</v>
      </c>
    </row>
    <row r="758" spans="1:8" ht="48" customHeight="1">
      <c r="A758" s="4" t="s">
        <v>649</v>
      </c>
      <c r="B758" s="4" t="s">
        <v>4132</v>
      </c>
      <c r="C758" s="4" t="s">
        <v>1465</v>
      </c>
      <c r="D758" s="4" t="s">
        <v>4133</v>
      </c>
      <c r="E758" s="9">
        <v>2496</v>
      </c>
      <c r="F758" s="4" t="s">
        <v>1684</v>
      </c>
      <c r="G758" s="4" t="s">
        <v>1642</v>
      </c>
      <c r="H758" s="4" t="s">
        <v>4134</v>
      </c>
    </row>
    <row r="759" spans="1:8" ht="30" customHeight="1">
      <c r="A759" s="3" t="s">
        <v>649</v>
      </c>
      <c r="B759" s="3" t="s">
        <v>4135</v>
      </c>
      <c r="C759" s="3" t="s">
        <v>1465</v>
      </c>
      <c r="D759" s="3" t="s">
        <v>4136</v>
      </c>
      <c r="E759" s="8">
        <v>1028</v>
      </c>
      <c r="F759" s="3" t="s">
        <v>1396</v>
      </c>
      <c r="G759" s="3" t="s">
        <v>1642</v>
      </c>
      <c r="H759" s="3" t="s">
        <v>4137</v>
      </c>
    </row>
    <row r="760" spans="1:8" ht="48" customHeight="1">
      <c r="A760" s="4" t="s">
        <v>649</v>
      </c>
      <c r="B760" s="4" t="s">
        <v>4138</v>
      </c>
      <c r="C760" s="4" t="s">
        <v>1465</v>
      </c>
      <c r="D760" s="4" t="s">
        <v>4139</v>
      </c>
      <c r="E760" s="9">
        <v>1024</v>
      </c>
      <c r="F760" s="4" t="s">
        <v>1396</v>
      </c>
      <c r="G760" s="4" t="s">
        <v>1642</v>
      </c>
      <c r="H760" s="4" t="s">
        <v>4140</v>
      </c>
    </row>
    <row r="761" spans="1:8" ht="48" customHeight="1">
      <c r="A761" s="3" t="s">
        <v>2316</v>
      </c>
      <c r="B761" s="3" t="s">
        <v>2318</v>
      </c>
      <c r="C761" s="3" t="s">
        <v>1465</v>
      </c>
      <c r="D761" s="3" t="s">
        <v>2319</v>
      </c>
      <c r="E761" s="8">
        <v>2175</v>
      </c>
      <c r="F761" s="3" t="s">
        <v>2320</v>
      </c>
      <c r="G761" s="3" t="s">
        <v>1664</v>
      </c>
      <c r="H761" s="3" t="s">
        <v>4141</v>
      </c>
    </row>
    <row r="762" spans="1:8" ht="30" customHeight="1">
      <c r="A762" s="4" t="s">
        <v>2316</v>
      </c>
      <c r="B762" s="4" t="s">
        <v>4142</v>
      </c>
      <c r="C762" s="4" t="s">
        <v>1465</v>
      </c>
      <c r="D762" s="4" t="s">
        <v>4143</v>
      </c>
      <c r="E762" s="9">
        <v>1431</v>
      </c>
      <c r="F762" s="4" t="s">
        <v>1356</v>
      </c>
      <c r="G762" s="4" t="s">
        <v>1664</v>
      </c>
      <c r="H762" s="4" t="s">
        <v>4144</v>
      </c>
    </row>
    <row r="763" spans="1:8" ht="30" customHeight="1">
      <c r="A763" s="3" t="s">
        <v>2316</v>
      </c>
      <c r="B763" s="3" t="s">
        <v>4145</v>
      </c>
      <c r="C763" s="3" t="s">
        <v>1465</v>
      </c>
      <c r="D763" s="3" t="s">
        <v>4146</v>
      </c>
      <c r="E763" s="8">
        <v>1425</v>
      </c>
      <c r="F763" s="3" t="s">
        <v>1356</v>
      </c>
      <c r="G763" s="3" t="s">
        <v>1664</v>
      </c>
      <c r="H763" s="3" t="s">
        <v>4147</v>
      </c>
    </row>
    <row r="764" spans="1:8" ht="48" customHeight="1">
      <c r="A764" s="4" t="s">
        <v>2316</v>
      </c>
      <c r="B764" s="4" t="s">
        <v>4148</v>
      </c>
      <c r="C764" s="4" t="s">
        <v>1465</v>
      </c>
      <c r="D764" s="4" t="s">
        <v>4149</v>
      </c>
      <c r="E764" s="9">
        <v>1168</v>
      </c>
      <c r="F764" s="4" t="s">
        <v>1356</v>
      </c>
      <c r="G764" s="4" t="s">
        <v>1664</v>
      </c>
      <c r="H764" s="4" t="s">
        <v>4150</v>
      </c>
    </row>
    <row r="765" spans="1:8" ht="48" customHeight="1">
      <c r="A765" s="3" t="s">
        <v>2316</v>
      </c>
      <c r="B765" s="3" t="s">
        <v>4151</v>
      </c>
      <c r="C765" s="3" t="s">
        <v>1465</v>
      </c>
      <c r="D765" s="3" t="s">
        <v>4152</v>
      </c>
      <c r="E765" s="8">
        <v>1108</v>
      </c>
      <c r="F765" s="3" t="s">
        <v>1356</v>
      </c>
      <c r="G765" s="3" t="s">
        <v>1664</v>
      </c>
      <c r="H765" s="3" t="s">
        <v>4153</v>
      </c>
    </row>
    <row r="766" spans="1:8" ht="48" customHeight="1">
      <c r="A766" s="4" t="s">
        <v>2316</v>
      </c>
      <c r="B766" s="4" t="s">
        <v>4118</v>
      </c>
      <c r="C766" s="4" t="s">
        <v>1465</v>
      </c>
      <c r="D766" s="4" t="s">
        <v>4119</v>
      </c>
      <c r="E766" s="9">
        <v>1099</v>
      </c>
      <c r="F766" s="4" t="s">
        <v>1693</v>
      </c>
      <c r="G766" s="4" t="s">
        <v>1664</v>
      </c>
      <c r="H766" s="4" t="s">
        <v>4141</v>
      </c>
    </row>
    <row r="767" spans="1:8" ht="48" customHeight="1">
      <c r="A767" s="3" t="s">
        <v>2316</v>
      </c>
      <c r="B767" s="3" t="s">
        <v>4154</v>
      </c>
      <c r="C767" s="3" t="s">
        <v>1465</v>
      </c>
      <c r="D767" s="3" t="s">
        <v>4155</v>
      </c>
      <c r="E767" s="8">
        <v>1011</v>
      </c>
      <c r="F767" s="3" t="s">
        <v>1356</v>
      </c>
      <c r="G767" s="3" t="s">
        <v>1664</v>
      </c>
      <c r="H767" s="3" t="s">
        <v>4150</v>
      </c>
    </row>
    <row r="768" spans="1:8" ht="66" customHeight="1">
      <c r="A768" s="4" t="s">
        <v>2230</v>
      </c>
      <c r="B768" s="4" t="s">
        <v>2232</v>
      </c>
      <c r="C768" s="4" t="s">
        <v>1465</v>
      </c>
      <c r="D768" s="4" t="s">
        <v>2233</v>
      </c>
      <c r="E768" s="9">
        <v>2767</v>
      </c>
      <c r="F768" s="4" t="s">
        <v>1865</v>
      </c>
      <c r="G768" s="4" t="s">
        <v>1642</v>
      </c>
      <c r="H768" s="4" t="s">
        <v>4156</v>
      </c>
    </row>
    <row r="769" spans="1:8" ht="48" customHeight="1">
      <c r="A769" s="3" t="s">
        <v>2230</v>
      </c>
      <c r="B769" s="3" t="s">
        <v>4157</v>
      </c>
      <c r="C769" s="3" t="s">
        <v>1465</v>
      </c>
      <c r="D769" s="3" t="s">
        <v>4158</v>
      </c>
      <c r="E769" s="8">
        <v>1207</v>
      </c>
      <c r="F769" s="3" t="s">
        <v>1376</v>
      </c>
      <c r="G769" s="3" t="s">
        <v>1642</v>
      </c>
      <c r="H769" s="3" t="s">
        <v>4159</v>
      </c>
    </row>
    <row r="770" spans="1:8" ht="30" customHeight="1">
      <c r="A770" s="4" t="s">
        <v>2378</v>
      </c>
      <c r="B770" s="4" t="s">
        <v>2380</v>
      </c>
      <c r="C770" s="4" t="s">
        <v>1465</v>
      </c>
      <c r="D770" s="4" t="s">
        <v>2381</v>
      </c>
      <c r="E770" s="9">
        <v>1431</v>
      </c>
      <c r="F770" s="4" t="s">
        <v>1356</v>
      </c>
      <c r="G770" s="4" t="s">
        <v>1664</v>
      </c>
      <c r="H770" s="4" t="s">
        <v>4160</v>
      </c>
    </row>
    <row r="771" spans="1:8" ht="30" customHeight="1">
      <c r="A771" s="3" t="s">
        <v>2378</v>
      </c>
      <c r="B771" s="3" t="s">
        <v>4161</v>
      </c>
      <c r="C771" s="3" t="s">
        <v>1465</v>
      </c>
      <c r="D771" s="3" t="s">
        <v>4162</v>
      </c>
      <c r="E771" s="8">
        <v>1431</v>
      </c>
      <c r="F771" s="3" t="s">
        <v>1356</v>
      </c>
      <c r="G771" s="3" t="s">
        <v>1664</v>
      </c>
      <c r="H771" s="3" t="s">
        <v>4163</v>
      </c>
    </row>
    <row r="772" spans="1:8" ht="30" customHeight="1">
      <c r="A772" s="4" t="s">
        <v>2378</v>
      </c>
      <c r="B772" s="4" t="s">
        <v>4164</v>
      </c>
      <c r="C772" s="4" t="s">
        <v>1465</v>
      </c>
      <c r="D772" s="4" t="s">
        <v>4165</v>
      </c>
      <c r="E772" s="9">
        <v>1430</v>
      </c>
      <c r="F772" s="4" t="s">
        <v>1356</v>
      </c>
      <c r="G772" s="4" t="s">
        <v>1664</v>
      </c>
      <c r="H772" s="4" t="s">
        <v>4166</v>
      </c>
    </row>
    <row r="773" spans="1:8" ht="30" customHeight="1">
      <c r="A773" s="3" t="s">
        <v>2378</v>
      </c>
      <c r="B773" s="3" t="s">
        <v>4167</v>
      </c>
      <c r="C773" s="3" t="s">
        <v>1465</v>
      </c>
      <c r="D773" s="3" t="s">
        <v>4168</v>
      </c>
      <c r="E773" s="8">
        <v>1428</v>
      </c>
      <c r="F773" s="3" t="s">
        <v>1356</v>
      </c>
      <c r="G773" s="3" t="s">
        <v>1664</v>
      </c>
      <c r="H773" s="3" t="s">
        <v>4169</v>
      </c>
    </row>
    <row r="774" spans="1:8" ht="48" customHeight="1">
      <c r="A774" s="4" t="s">
        <v>2378</v>
      </c>
      <c r="B774" s="4" t="s">
        <v>4087</v>
      </c>
      <c r="C774" s="4" t="s">
        <v>1465</v>
      </c>
      <c r="D774" s="4" t="s">
        <v>4088</v>
      </c>
      <c r="E774" s="9">
        <v>1427</v>
      </c>
      <c r="F774" s="4" t="s">
        <v>1356</v>
      </c>
      <c r="G774" s="4" t="s">
        <v>1664</v>
      </c>
      <c r="H774" s="4" t="s">
        <v>4170</v>
      </c>
    </row>
    <row r="775" spans="1:8" ht="48" customHeight="1">
      <c r="A775" s="3" t="s">
        <v>2264</v>
      </c>
      <c r="B775" s="3" t="s">
        <v>4171</v>
      </c>
      <c r="C775" s="3" t="s">
        <v>1465</v>
      </c>
      <c r="D775" s="3" t="s">
        <v>4172</v>
      </c>
      <c r="E775" s="8">
        <v>4264</v>
      </c>
      <c r="F775" s="3" t="s">
        <v>4173</v>
      </c>
      <c r="G775" s="3" t="s">
        <v>1664</v>
      </c>
      <c r="H775" s="3" t="s">
        <v>4174</v>
      </c>
    </row>
    <row r="776" spans="1:8" ht="30" customHeight="1">
      <c r="A776" s="4" t="s">
        <v>2264</v>
      </c>
      <c r="B776" s="4" t="s">
        <v>2266</v>
      </c>
      <c r="C776" s="4" t="s">
        <v>1465</v>
      </c>
      <c r="D776" s="4" t="s">
        <v>2267</v>
      </c>
      <c r="E776" s="9">
        <v>2538</v>
      </c>
      <c r="F776" s="4" t="s">
        <v>1684</v>
      </c>
      <c r="G776" s="4" t="s">
        <v>1642</v>
      </c>
      <c r="H776" s="4" t="s">
        <v>4175</v>
      </c>
    </row>
    <row r="777" spans="1:8" ht="30" customHeight="1">
      <c r="A777" s="3" t="s">
        <v>2264</v>
      </c>
      <c r="B777" s="3" t="s">
        <v>4176</v>
      </c>
      <c r="C777" s="3" t="s">
        <v>1465</v>
      </c>
      <c r="D777" s="3" t="s">
        <v>4177</v>
      </c>
      <c r="E777" s="8">
        <v>1431</v>
      </c>
      <c r="F777" s="3" t="s">
        <v>1356</v>
      </c>
      <c r="G777" s="3" t="s">
        <v>1664</v>
      </c>
      <c r="H777" s="3" t="s">
        <v>4178</v>
      </c>
    </row>
    <row r="778" spans="1:8" ht="30" customHeight="1">
      <c r="A778" s="4" t="s">
        <v>2264</v>
      </c>
      <c r="B778" s="4" t="s">
        <v>4179</v>
      </c>
      <c r="C778" s="4" t="s">
        <v>1465</v>
      </c>
      <c r="D778" s="4" t="s">
        <v>4180</v>
      </c>
      <c r="E778" s="9">
        <v>1424</v>
      </c>
      <c r="F778" s="4" t="s">
        <v>1356</v>
      </c>
      <c r="G778" s="4" t="s">
        <v>1664</v>
      </c>
      <c r="H778" s="4" t="s">
        <v>4181</v>
      </c>
    </row>
    <row r="779" spans="1:8" ht="30" customHeight="1">
      <c r="A779" s="3" t="s">
        <v>2264</v>
      </c>
      <c r="B779" s="3" t="s">
        <v>4182</v>
      </c>
      <c r="C779" s="3" t="s">
        <v>1465</v>
      </c>
      <c r="D779" s="3" t="s">
        <v>4183</v>
      </c>
      <c r="E779" s="8">
        <v>1405</v>
      </c>
      <c r="F779" s="3" t="s">
        <v>1356</v>
      </c>
      <c r="G779" s="3" t="s">
        <v>1664</v>
      </c>
      <c r="H779" s="3" t="s">
        <v>4184</v>
      </c>
    </row>
    <row r="780" spans="1:8" ht="48" customHeight="1">
      <c r="A780" s="4" t="s">
        <v>2382</v>
      </c>
      <c r="B780" s="4" t="s">
        <v>2384</v>
      </c>
      <c r="C780" s="4" t="s">
        <v>1465</v>
      </c>
      <c r="D780" s="4" t="s">
        <v>2385</v>
      </c>
      <c r="E780" s="9">
        <v>1431</v>
      </c>
      <c r="F780" s="4" t="s">
        <v>1356</v>
      </c>
      <c r="G780" s="4" t="s">
        <v>1664</v>
      </c>
      <c r="H780" s="4" t="s">
        <v>4185</v>
      </c>
    </row>
    <row r="781" spans="1:8" ht="48" customHeight="1">
      <c r="A781" s="3" t="s">
        <v>2382</v>
      </c>
      <c r="B781" s="3" t="s">
        <v>4186</v>
      </c>
      <c r="C781" s="3" t="s">
        <v>1465</v>
      </c>
      <c r="D781" s="3" t="s">
        <v>4187</v>
      </c>
      <c r="E781" s="8">
        <v>1429</v>
      </c>
      <c r="F781" s="3" t="s">
        <v>1356</v>
      </c>
      <c r="G781" s="3" t="s">
        <v>1664</v>
      </c>
      <c r="H781" s="3" t="s">
        <v>4188</v>
      </c>
    </row>
    <row r="782" spans="1:8" ht="48" customHeight="1">
      <c r="A782" s="4" t="s">
        <v>2382</v>
      </c>
      <c r="B782" s="4" t="s">
        <v>4087</v>
      </c>
      <c r="C782" s="4" t="s">
        <v>1465</v>
      </c>
      <c r="D782" s="4" t="s">
        <v>4088</v>
      </c>
      <c r="E782" s="9">
        <v>1427</v>
      </c>
      <c r="F782" s="4" t="s">
        <v>1356</v>
      </c>
      <c r="G782" s="4" t="s">
        <v>1664</v>
      </c>
      <c r="H782" s="4" t="s">
        <v>4189</v>
      </c>
    </row>
    <row r="783" spans="1:8" ht="30" customHeight="1">
      <c r="A783" s="3" t="s">
        <v>2434</v>
      </c>
      <c r="B783" s="3" t="s">
        <v>678</v>
      </c>
      <c r="C783" s="3" t="s">
        <v>1465</v>
      </c>
      <c r="D783" s="3" t="s">
        <v>1956</v>
      </c>
      <c r="E783" s="8">
        <v>1224</v>
      </c>
      <c r="F783" s="3" t="s">
        <v>1370</v>
      </c>
      <c r="G783" s="3" t="s">
        <v>1642</v>
      </c>
      <c r="H783" s="3" t="s">
        <v>4190</v>
      </c>
    </row>
    <row r="784" spans="1:8" ht="30" customHeight="1">
      <c r="A784" s="4" t="s">
        <v>2466</v>
      </c>
      <c r="B784" s="4" t="s">
        <v>1708</v>
      </c>
      <c r="C784" s="4" t="s">
        <v>1465</v>
      </c>
      <c r="D784" s="4" t="s">
        <v>1709</v>
      </c>
      <c r="E784" s="9">
        <v>1203</v>
      </c>
      <c r="F784" s="4" t="s">
        <v>1356</v>
      </c>
      <c r="G784" s="4" t="s">
        <v>1664</v>
      </c>
      <c r="H784" s="4" t="s">
        <v>4191</v>
      </c>
    </row>
    <row r="785" spans="1:8" ht="30" customHeight="1">
      <c r="A785" s="3" t="s">
        <v>2480</v>
      </c>
      <c r="B785" s="3" t="s">
        <v>2008</v>
      </c>
      <c r="C785" s="3" t="s">
        <v>1465</v>
      </c>
      <c r="D785" s="3" t="s">
        <v>2009</v>
      </c>
      <c r="E785" s="8">
        <v>1199</v>
      </c>
      <c r="F785" s="3" t="s">
        <v>1380</v>
      </c>
      <c r="G785" s="3" t="s">
        <v>1642</v>
      </c>
      <c r="H785" s="3" t="s">
        <v>4192</v>
      </c>
    </row>
    <row r="786" spans="1:8" ht="48" customHeight="1">
      <c r="A786" s="4" t="s">
        <v>633</v>
      </c>
      <c r="B786" s="4" t="s">
        <v>1855</v>
      </c>
      <c r="C786" s="4" t="s">
        <v>1643</v>
      </c>
      <c r="D786" s="4" t="s">
        <v>1856</v>
      </c>
      <c r="E786" s="9">
        <v>3976</v>
      </c>
      <c r="F786" s="4" t="s">
        <v>1857</v>
      </c>
      <c r="G786" s="4" t="s">
        <v>1642</v>
      </c>
      <c r="H786" s="4" t="s">
        <v>4193</v>
      </c>
    </row>
    <row r="787" spans="1:8" ht="48" customHeight="1">
      <c r="A787" s="3" t="s">
        <v>633</v>
      </c>
      <c r="B787" s="3" t="s">
        <v>1858</v>
      </c>
      <c r="C787" s="3" t="s">
        <v>1643</v>
      </c>
      <c r="D787" s="3" t="s">
        <v>3643</v>
      </c>
      <c r="E787" s="8">
        <v>3975</v>
      </c>
      <c r="F787" s="3" t="s">
        <v>1857</v>
      </c>
      <c r="G787" s="3" t="s">
        <v>1642</v>
      </c>
      <c r="H787" s="3" t="s">
        <v>4194</v>
      </c>
    </row>
    <row r="788" spans="1:8" ht="48" customHeight="1">
      <c r="A788" s="4" t="s">
        <v>633</v>
      </c>
      <c r="B788" s="4" t="s">
        <v>2657</v>
      </c>
      <c r="C788" s="4" t="s">
        <v>1465</v>
      </c>
      <c r="D788" s="4" t="s">
        <v>2658</v>
      </c>
      <c r="E788" s="9">
        <v>1209</v>
      </c>
      <c r="F788" s="4" t="s">
        <v>1376</v>
      </c>
      <c r="G788" s="4" t="s">
        <v>1642</v>
      </c>
      <c r="H788" s="4" t="s">
        <v>4195</v>
      </c>
    </row>
    <row r="789" spans="1:8" ht="48" customHeight="1">
      <c r="A789" s="3" t="s">
        <v>2338</v>
      </c>
      <c r="B789" s="3" t="s">
        <v>1907</v>
      </c>
      <c r="C789" s="3" t="s">
        <v>1465</v>
      </c>
      <c r="D789" s="3" t="s">
        <v>1908</v>
      </c>
      <c r="E789" s="8">
        <v>1534</v>
      </c>
      <c r="F789" s="3" t="s">
        <v>1351</v>
      </c>
      <c r="G789" s="3" t="s">
        <v>1664</v>
      </c>
      <c r="H789" s="3" t="s">
        <v>4196</v>
      </c>
    </row>
    <row r="790" spans="1:8" ht="30" customHeight="1">
      <c r="A790" s="4" t="s">
        <v>2338</v>
      </c>
      <c r="B790" s="4" t="s">
        <v>4197</v>
      </c>
      <c r="C790" s="4" t="s">
        <v>1465</v>
      </c>
      <c r="D790" s="4" t="s">
        <v>4198</v>
      </c>
      <c r="E790" s="9">
        <v>1308</v>
      </c>
      <c r="F790" s="4" t="s">
        <v>2702</v>
      </c>
      <c r="G790" s="4" t="s">
        <v>1664</v>
      </c>
      <c r="H790" s="4" t="s">
        <v>4199</v>
      </c>
    </row>
    <row r="791" spans="1:8" ht="30" customHeight="1">
      <c r="A791" s="3" t="s">
        <v>628</v>
      </c>
      <c r="B791" s="3" t="s">
        <v>1898</v>
      </c>
      <c r="C791" s="3" t="s">
        <v>1643</v>
      </c>
      <c r="D791" s="3" t="s">
        <v>1899</v>
      </c>
      <c r="E791" s="8">
        <v>2075</v>
      </c>
      <c r="F791" s="3" t="s">
        <v>1900</v>
      </c>
      <c r="G791" s="3" t="s">
        <v>1642</v>
      </c>
      <c r="H791" s="3" t="s">
        <v>4200</v>
      </c>
    </row>
    <row r="792" spans="1:8" ht="30" customHeight="1">
      <c r="A792" s="4" t="s">
        <v>628</v>
      </c>
      <c r="B792" s="4" t="s">
        <v>4201</v>
      </c>
      <c r="C792" s="4" t="s">
        <v>1643</v>
      </c>
      <c r="D792" s="4" t="s">
        <v>4202</v>
      </c>
      <c r="E792" s="9">
        <v>2073</v>
      </c>
      <c r="F792" s="4" t="s">
        <v>1900</v>
      </c>
      <c r="G792" s="4" t="s">
        <v>1642</v>
      </c>
      <c r="H792" s="4" t="s">
        <v>4200</v>
      </c>
    </row>
    <row r="793" spans="1:8" ht="30" customHeight="1">
      <c r="A793" s="3" t="s">
        <v>628</v>
      </c>
      <c r="B793" s="3" t="s">
        <v>4203</v>
      </c>
      <c r="C793" s="3" t="s">
        <v>1643</v>
      </c>
      <c r="D793" s="3" t="s">
        <v>4204</v>
      </c>
      <c r="E793" s="8">
        <v>2068</v>
      </c>
      <c r="F793" s="3" t="s">
        <v>1900</v>
      </c>
      <c r="G793" s="3" t="s">
        <v>1642</v>
      </c>
      <c r="H793" s="3" t="s">
        <v>4200</v>
      </c>
    </row>
    <row r="794" spans="1:8" ht="48" customHeight="1">
      <c r="A794" s="4" t="s">
        <v>628</v>
      </c>
      <c r="B794" s="4" t="s">
        <v>4205</v>
      </c>
      <c r="C794" s="4" t="s">
        <v>1643</v>
      </c>
      <c r="D794" s="4" t="s">
        <v>4206</v>
      </c>
      <c r="E794" s="9">
        <v>2062</v>
      </c>
      <c r="F794" s="4" t="s">
        <v>1900</v>
      </c>
      <c r="G794" s="4" t="s">
        <v>1642</v>
      </c>
      <c r="H794" s="4" t="s">
        <v>4200</v>
      </c>
    </row>
    <row r="795" spans="1:8" ht="30" customHeight="1">
      <c r="A795" s="3" t="s">
        <v>628</v>
      </c>
      <c r="B795" s="3" t="s">
        <v>4207</v>
      </c>
      <c r="C795" s="3" t="s">
        <v>1643</v>
      </c>
      <c r="D795" s="3" t="s">
        <v>4208</v>
      </c>
      <c r="E795" s="8">
        <v>2059</v>
      </c>
      <c r="F795" s="3" t="s">
        <v>1900</v>
      </c>
      <c r="G795" s="3" t="s">
        <v>1642</v>
      </c>
      <c r="H795" s="3" t="s">
        <v>4200</v>
      </c>
    </row>
    <row r="796" spans="1:8" ht="30" customHeight="1">
      <c r="A796" s="4" t="s">
        <v>628</v>
      </c>
      <c r="B796" s="4" t="s">
        <v>4209</v>
      </c>
      <c r="C796" s="4" t="s">
        <v>1643</v>
      </c>
      <c r="D796" s="4" t="s">
        <v>4210</v>
      </c>
      <c r="E796" s="9">
        <v>2059</v>
      </c>
      <c r="F796" s="4" t="s">
        <v>1900</v>
      </c>
      <c r="G796" s="4" t="s">
        <v>1642</v>
      </c>
      <c r="H796" s="4" t="s">
        <v>4200</v>
      </c>
    </row>
    <row r="797" spans="1:8" ht="30" customHeight="1">
      <c r="A797" s="3" t="s">
        <v>628</v>
      </c>
      <c r="B797" s="3" t="s">
        <v>4211</v>
      </c>
      <c r="C797" s="3" t="s">
        <v>1643</v>
      </c>
      <c r="D797" s="3" t="s">
        <v>4212</v>
      </c>
      <c r="E797" s="8">
        <v>1217</v>
      </c>
      <c r="F797" s="3" t="s">
        <v>1370</v>
      </c>
      <c r="G797" s="3" t="s">
        <v>1642</v>
      </c>
      <c r="H797" s="3" t="s">
        <v>4213</v>
      </c>
    </row>
    <row r="798" spans="1:8" ht="30" customHeight="1">
      <c r="A798" s="4" t="s">
        <v>628</v>
      </c>
      <c r="B798" s="4" t="s">
        <v>4214</v>
      </c>
      <c r="C798" s="4" t="s">
        <v>1643</v>
      </c>
      <c r="D798" s="4" t="s">
        <v>4215</v>
      </c>
      <c r="E798" s="9">
        <v>1050</v>
      </c>
      <c r="F798" s="4" t="s">
        <v>1394</v>
      </c>
      <c r="G798" s="4" t="s">
        <v>1664</v>
      </c>
      <c r="H798" s="4" t="s">
        <v>4216</v>
      </c>
    </row>
    <row r="799" spans="1:8" ht="48" customHeight="1">
      <c r="A799" s="3" t="s">
        <v>628</v>
      </c>
      <c r="B799" s="3" t="s">
        <v>2693</v>
      </c>
      <c r="C799" s="3" t="s">
        <v>1643</v>
      </c>
      <c r="D799" s="3" t="s">
        <v>2694</v>
      </c>
      <c r="E799" s="8">
        <v>1050</v>
      </c>
      <c r="F799" s="3" t="s">
        <v>1394</v>
      </c>
      <c r="G799" s="3" t="s">
        <v>1664</v>
      </c>
      <c r="H799" s="3" t="s">
        <v>4216</v>
      </c>
    </row>
    <row r="800" spans="1:8" ht="30" customHeight="1">
      <c r="A800" s="4" t="s">
        <v>628</v>
      </c>
      <c r="B800" s="4" t="s">
        <v>4217</v>
      </c>
      <c r="C800" s="4" t="s">
        <v>1643</v>
      </c>
      <c r="D800" s="4" t="s">
        <v>4218</v>
      </c>
      <c r="E800" s="9">
        <v>1050</v>
      </c>
      <c r="F800" s="4" t="s">
        <v>1394</v>
      </c>
      <c r="G800" s="4" t="s">
        <v>1664</v>
      </c>
      <c r="H800" s="4" t="s">
        <v>4216</v>
      </c>
    </row>
    <row r="801" spans="1:8" ht="30" customHeight="1">
      <c r="A801" s="3" t="s">
        <v>628</v>
      </c>
      <c r="B801" s="3" t="s">
        <v>2827</v>
      </c>
      <c r="C801" s="3" t="s">
        <v>1643</v>
      </c>
      <c r="D801" s="3" t="s">
        <v>2828</v>
      </c>
      <c r="E801" s="8">
        <v>1050</v>
      </c>
      <c r="F801" s="3" t="s">
        <v>1394</v>
      </c>
      <c r="G801" s="3" t="s">
        <v>1664</v>
      </c>
      <c r="H801" s="3" t="s">
        <v>4216</v>
      </c>
    </row>
    <row r="802" spans="1:8" ht="30" customHeight="1">
      <c r="A802" s="4" t="s">
        <v>628</v>
      </c>
      <c r="B802" s="4" t="s">
        <v>4219</v>
      </c>
      <c r="C802" s="4" t="s">
        <v>1643</v>
      </c>
      <c r="D802" s="4" t="s">
        <v>4220</v>
      </c>
      <c r="E802" s="9">
        <v>1050</v>
      </c>
      <c r="F802" s="4" t="s">
        <v>1394</v>
      </c>
      <c r="G802" s="4" t="s">
        <v>1664</v>
      </c>
      <c r="H802" s="4" t="s">
        <v>4216</v>
      </c>
    </row>
    <row r="803" spans="1:8" ht="48" customHeight="1">
      <c r="A803" s="3" t="s">
        <v>628</v>
      </c>
      <c r="B803" s="3" t="s">
        <v>2830</v>
      </c>
      <c r="C803" s="3" t="s">
        <v>1643</v>
      </c>
      <c r="D803" s="3" t="s">
        <v>2831</v>
      </c>
      <c r="E803" s="8">
        <v>1050</v>
      </c>
      <c r="F803" s="3" t="s">
        <v>1394</v>
      </c>
      <c r="G803" s="3" t="s">
        <v>1664</v>
      </c>
      <c r="H803" s="3" t="s">
        <v>4216</v>
      </c>
    </row>
    <row r="804" spans="1:8" ht="48" customHeight="1">
      <c r="A804" s="4" t="s">
        <v>628</v>
      </c>
      <c r="B804" s="4" t="s">
        <v>2745</v>
      </c>
      <c r="C804" s="4" t="s">
        <v>1465</v>
      </c>
      <c r="D804" s="4" t="s">
        <v>2746</v>
      </c>
      <c r="E804" s="9">
        <v>1570</v>
      </c>
      <c r="F804" s="4" t="s">
        <v>1672</v>
      </c>
      <c r="G804" s="4" t="s">
        <v>1664</v>
      </c>
      <c r="H804" s="4" t="s">
        <v>4221</v>
      </c>
    </row>
    <row r="805" spans="1:8" ht="48" customHeight="1">
      <c r="A805" s="3" t="s">
        <v>628</v>
      </c>
      <c r="B805" s="3" t="s">
        <v>2812</v>
      </c>
      <c r="C805" s="3" t="s">
        <v>1465</v>
      </c>
      <c r="D805" s="3" t="s">
        <v>2813</v>
      </c>
      <c r="E805" s="8">
        <v>1568</v>
      </c>
      <c r="F805" s="3" t="s">
        <v>1672</v>
      </c>
      <c r="G805" s="3" t="s">
        <v>1664</v>
      </c>
      <c r="H805" s="3" t="s">
        <v>4222</v>
      </c>
    </row>
    <row r="806" spans="1:8" ht="30" customHeight="1">
      <c r="A806" s="4" t="s">
        <v>2454</v>
      </c>
      <c r="B806" s="4" t="s">
        <v>2019</v>
      </c>
      <c r="C806" s="4" t="s">
        <v>1465</v>
      </c>
      <c r="D806" s="4" t="s">
        <v>2020</v>
      </c>
      <c r="E806" s="9">
        <v>1205</v>
      </c>
      <c r="F806" s="4" t="s">
        <v>1380</v>
      </c>
      <c r="G806" s="4" t="s">
        <v>1642</v>
      </c>
      <c r="H806" s="4" t="s">
        <v>2799</v>
      </c>
    </row>
    <row r="807" spans="1:8" ht="48" customHeight="1">
      <c r="A807" s="3" t="s">
        <v>2442</v>
      </c>
      <c r="B807" s="3" t="s">
        <v>2444</v>
      </c>
      <c r="C807" s="3" t="s">
        <v>1465</v>
      </c>
      <c r="D807" s="3" t="s">
        <v>2445</v>
      </c>
      <c r="E807" s="8">
        <v>1211</v>
      </c>
      <c r="F807" s="3" t="s">
        <v>1376</v>
      </c>
      <c r="G807" s="3" t="s">
        <v>1642</v>
      </c>
      <c r="H807" s="3" t="s">
        <v>4223</v>
      </c>
    </row>
    <row r="808" spans="1:8" ht="48" customHeight="1">
      <c r="A808" s="4" t="s">
        <v>2446</v>
      </c>
      <c r="B808" s="4" t="s">
        <v>1958</v>
      </c>
      <c r="C808" s="4" t="s">
        <v>1465</v>
      </c>
      <c r="D808" s="4" t="s">
        <v>1959</v>
      </c>
      <c r="E808" s="9">
        <v>1211</v>
      </c>
      <c r="F808" s="4" t="s">
        <v>1376</v>
      </c>
      <c r="G808" s="4" t="s">
        <v>1642</v>
      </c>
      <c r="H808" s="4" t="s">
        <v>4224</v>
      </c>
    </row>
    <row r="809" spans="1:8" ht="30" customHeight="1">
      <c r="A809" s="3" t="s">
        <v>2468</v>
      </c>
      <c r="B809" s="3" t="s">
        <v>1987</v>
      </c>
      <c r="C809" s="3" t="s">
        <v>1465</v>
      </c>
      <c r="D809" s="3" t="s">
        <v>1988</v>
      </c>
      <c r="E809" s="8">
        <v>1203</v>
      </c>
      <c r="F809" s="3" t="s">
        <v>1380</v>
      </c>
      <c r="G809" s="3" t="s">
        <v>1642</v>
      </c>
      <c r="H809" s="3" t="s">
        <v>4225</v>
      </c>
    </row>
    <row r="810" spans="1:8" ht="30" customHeight="1">
      <c r="A810" s="4" t="s">
        <v>2468</v>
      </c>
      <c r="B810" s="4" t="s">
        <v>4226</v>
      </c>
      <c r="C810" s="4" t="s">
        <v>1465</v>
      </c>
      <c r="D810" s="4" t="s">
        <v>4227</v>
      </c>
      <c r="E810" s="9">
        <v>1164</v>
      </c>
      <c r="F810" s="4" t="s">
        <v>2502</v>
      </c>
      <c r="G810" s="4" t="s">
        <v>1664</v>
      </c>
      <c r="H810" s="4" t="s">
        <v>4228</v>
      </c>
    </row>
    <row r="811" spans="1:8" ht="48" customHeight="1">
      <c r="A811" s="3" t="s">
        <v>2470</v>
      </c>
      <c r="B811" s="3" t="s">
        <v>4229</v>
      </c>
      <c r="C811" s="3" t="s">
        <v>1465</v>
      </c>
      <c r="D811" s="3" t="s">
        <v>4230</v>
      </c>
      <c r="E811" s="8">
        <v>2669</v>
      </c>
      <c r="F811" s="3" t="s">
        <v>2923</v>
      </c>
      <c r="G811" s="3" t="s">
        <v>1664</v>
      </c>
      <c r="H811" s="3" t="s">
        <v>4231</v>
      </c>
    </row>
    <row r="812" spans="1:8" ht="48" customHeight="1">
      <c r="A812" s="4" t="s">
        <v>2470</v>
      </c>
      <c r="B812" s="4" t="s">
        <v>2039</v>
      </c>
      <c r="C812" s="4" t="s">
        <v>1465</v>
      </c>
      <c r="D812" s="4" t="s">
        <v>2040</v>
      </c>
      <c r="E812" s="9">
        <v>1203</v>
      </c>
      <c r="F812" s="4" t="s">
        <v>1380</v>
      </c>
      <c r="G812" s="4" t="s">
        <v>1642</v>
      </c>
      <c r="H812" s="4" t="s">
        <v>4232</v>
      </c>
    </row>
    <row r="813" spans="1:8" ht="30" customHeight="1">
      <c r="A813" s="3" t="s">
        <v>2470</v>
      </c>
      <c r="B813" s="3" t="s">
        <v>4233</v>
      </c>
      <c r="C813" s="3" t="s">
        <v>1465</v>
      </c>
      <c r="D813" s="3" t="s">
        <v>4234</v>
      </c>
      <c r="E813" s="8">
        <v>1200</v>
      </c>
      <c r="F813" s="3" t="s">
        <v>1380</v>
      </c>
      <c r="G813" s="3" t="s">
        <v>1642</v>
      </c>
      <c r="H813" s="3" t="s">
        <v>4235</v>
      </c>
    </row>
    <row r="814" spans="1:8" ht="66" customHeight="1">
      <c r="A814" s="4" t="s">
        <v>2470</v>
      </c>
      <c r="B814" s="4" t="s">
        <v>3588</v>
      </c>
      <c r="C814" s="4" t="s">
        <v>1465</v>
      </c>
      <c r="D814" s="4" t="s">
        <v>3589</v>
      </c>
      <c r="E814" s="9">
        <v>1126</v>
      </c>
      <c r="F814" s="4" t="s">
        <v>1376</v>
      </c>
      <c r="G814" s="4" t="s">
        <v>1642</v>
      </c>
      <c r="H814" s="4" t="s">
        <v>4236</v>
      </c>
    </row>
    <row r="815" spans="1:8" ht="48" customHeight="1">
      <c r="A815" s="3" t="s">
        <v>2470</v>
      </c>
      <c r="B815" s="3" t="s">
        <v>4237</v>
      </c>
      <c r="C815" s="3" t="s">
        <v>1465</v>
      </c>
      <c r="D815" s="3" t="s">
        <v>4238</v>
      </c>
      <c r="E815" s="8">
        <v>1125</v>
      </c>
      <c r="F815" s="3" t="s">
        <v>1376</v>
      </c>
      <c r="G815" s="3" t="s">
        <v>1642</v>
      </c>
      <c r="H815" s="3" t="s">
        <v>4239</v>
      </c>
    </row>
    <row r="816" spans="1:8" ht="48" customHeight="1">
      <c r="A816" s="4" t="s">
        <v>2470</v>
      </c>
      <c r="B816" s="4" t="s">
        <v>4240</v>
      </c>
      <c r="C816" s="4" t="s">
        <v>1465</v>
      </c>
      <c r="D816" s="4" t="s">
        <v>4241</v>
      </c>
      <c r="E816" s="9">
        <v>1125</v>
      </c>
      <c r="F816" s="4" t="s">
        <v>1376</v>
      </c>
      <c r="G816" s="4" t="s">
        <v>1642</v>
      </c>
      <c r="H816" s="4" t="s">
        <v>4242</v>
      </c>
    </row>
    <row r="817" spans="1:8" ht="30" customHeight="1">
      <c r="A817" s="3" t="s">
        <v>2215</v>
      </c>
      <c r="B817" s="3" t="s">
        <v>2217</v>
      </c>
      <c r="C817" s="3" t="s">
        <v>1465</v>
      </c>
      <c r="D817" s="3" t="s">
        <v>2218</v>
      </c>
      <c r="E817" s="8">
        <v>2952</v>
      </c>
      <c r="F817" s="3" t="s">
        <v>1823</v>
      </c>
      <c r="G817" s="3" t="s">
        <v>1664</v>
      </c>
      <c r="H817" s="3" t="s">
        <v>4243</v>
      </c>
    </row>
    <row r="818" spans="1:8" ht="48" customHeight="1">
      <c r="A818" s="4" t="s">
        <v>2215</v>
      </c>
      <c r="B818" s="4" t="s">
        <v>4244</v>
      </c>
      <c r="C818" s="4" t="s">
        <v>1465</v>
      </c>
      <c r="D818" s="4" t="s">
        <v>4245</v>
      </c>
      <c r="E818" s="9">
        <v>1549</v>
      </c>
      <c r="F818" s="4" t="s">
        <v>2333</v>
      </c>
      <c r="G818" s="4" t="s">
        <v>1664</v>
      </c>
      <c r="H818" s="4" t="s">
        <v>4246</v>
      </c>
    </row>
    <row r="819" spans="1:8" ht="48" customHeight="1">
      <c r="A819" s="3" t="s">
        <v>2334</v>
      </c>
      <c r="B819" s="3" t="s">
        <v>2336</v>
      </c>
      <c r="C819" s="3" t="s">
        <v>1465</v>
      </c>
      <c r="D819" s="3" t="s">
        <v>2337</v>
      </c>
      <c r="E819" s="8">
        <v>1594</v>
      </c>
      <c r="F819" s="3" t="s">
        <v>2333</v>
      </c>
      <c r="G819" s="3" t="s">
        <v>1664</v>
      </c>
      <c r="H819" s="3" t="s">
        <v>4247</v>
      </c>
    </row>
    <row r="820" spans="1:8" ht="48" customHeight="1">
      <c r="A820" s="4" t="s">
        <v>2334</v>
      </c>
      <c r="B820" s="4" t="s">
        <v>4248</v>
      </c>
      <c r="C820" s="4" t="s">
        <v>1465</v>
      </c>
      <c r="D820" s="4" t="s">
        <v>4249</v>
      </c>
      <c r="E820" s="9">
        <v>1544</v>
      </c>
      <c r="F820" s="4" t="s">
        <v>2333</v>
      </c>
      <c r="G820" s="4" t="s">
        <v>1664</v>
      </c>
      <c r="H820" s="4" t="s">
        <v>4250</v>
      </c>
    </row>
    <row r="821" spans="1:8" ht="48" customHeight="1">
      <c r="A821" s="3" t="s">
        <v>2334</v>
      </c>
      <c r="B821" s="3" t="s">
        <v>2672</v>
      </c>
      <c r="C821" s="3" t="s">
        <v>1465</v>
      </c>
      <c r="D821" s="3" t="s">
        <v>2673</v>
      </c>
      <c r="E821" s="8">
        <v>1396</v>
      </c>
      <c r="F821" s="3" t="s">
        <v>1796</v>
      </c>
      <c r="G821" s="3" t="s">
        <v>1664</v>
      </c>
      <c r="H821" s="3" t="s">
        <v>4251</v>
      </c>
    </row>
    <row r="822" spans="1:8" ht="48" customHeight="1">
      <c r="A822" s="4" t="s">
        <v>2334</v>
      </c>
      <c r="B822" s="4" t="s">
        <v>2708</v>
      </c>
      <c r="C822" s="4" t="s">
        <v>1465</v>
      </c>
      <c r="D822" s="4" t="s">
        <v>2709</v>
      </c>
      <c r="E822" s="9">
        <v>1396</v>
      </c>
      <c r="F822" s="4" t="s">
        <v>1796</v>
      </c>
      <c r="G822" s="4" t="s">
        <v>1664</v>
      </c>
      <c r="H822" s="4" t="s">
        <v>4252</v>
      </c>
    </row>
    <row r="823" spans="1:8" ht="30" customHeight="1">
      <c r="A823" s="3" t="s">
        <v>2288</v>
      </c>
      <c r="B823" s="3" t="s">
        <v>2290</v>
      </c>
      <c r="C823" s="3" t="s">
        <v>1465</v>
      </c>
      <c r="D823" s="3" t="s">
        <v>2291</v>
      </c>
      <c r="E823" s="8">
        <v>2523</v>
      </c>
      <c r="F823" s="3" t="s">
        <v>1684</v>
      </c>
      <c r="G823" s="3" t="s">
        <v>1642</v>
      </c>
      <c r="H823" s="3" t="s">
        <v>4253</v>
      </c>
    </row>
    <row r="824" spans="1:8" ht="48" customHeight="1">
      <c r="A824" s="4" t="s">
        <v>2288</v>
      </c>
      <c r="B824" s="4" t="s">
        <v>4132</v>
      </c>
      <c r="C824" s="4" t="s">
        <v>1465</v>
      </c>
      <c r="D824" s="4" t="s">
        <v>4133</v>
      </c>
      <c r="E824" s="9">
        <v>2496</v>
      </c>
      <c r="F824" s="4" t="s">
        <v>1684</v>
      </c>
      <c r="G824" s="4" t="s">
        <v>1642</v>
      </c>
      <c r="H824" s="4" t="s">
        <v>4254</v>
      </c>
    </row>
    <row r="825" spans="1:8" ht="30" customHeight="1">
      <c r="A825" s="3" t="s">
        <v>2288</v>
      </c>
      <c r="B825" s="3" t="s">
        <v>650</v>
      </c>
      <c r="C825" s="3" t="s">
        <v>1465</v>
      </c>
      <c r="D825" s="3" t="s">
        <v>1894</v>
      </c>
      <c r="E825" s="8">
        <v>2438</v>
      </c>
      <c r="F825" s="3" t="s">
        <v>1684</v>
      </c>
      <c r="G825" s="3" t="s">
        <v>1642</v>
      </c>
      <c r="H825" s="3" t="s">
        <v>4255</v>
      </c>
    </row>
    <row r="826" spans="1:8" ht="48" customHeight="1">
      <c r="A826" s="4" t="s">
        <v>2288</v>
      </c>
      <c r="B826" s="4" t="s">
        <v>4256</v>
      </c>
      <c r="C826" s="4" t="s">
        <v>1465</v>
      </c>
      <c r="D826" s="4" t="s">
        <v>4257</v>
      </c>
      <c r="E826" s="9">
        <v>1599</v>
      </c>
      <c r="F826" s="4" t="s">
        <v>2333</v>
      </c>
      <c r="G826" s="4" t="s">
        <v>1664</v>
      </c>
      <c r="H826" s="4" t="s">
        <v>4258</v>
      </c>
    </row>
    <row r="827" spans="1:8" ht="48" customHeight="1">
      <c r="A827" s="3" t="s">
        <v>2288</v>
      </c>
      <c r="B827" s="3" t="s">
        <v>4259</v>
      </c>
      <c r="C827" s="3" t="s">
        <v>1465</v>
      </c>
      <c r="D827" s="3" t="s">
        <v>4260</v>
      </c>
      <c r="E827" s="8">
        <v>1597</v>
      </c>
      <c r="F827" s="3" t="s">
        <v>2333</v>
      </c>
      <c r="G827" s="3" t="s">
        <v>1664</v>
      </c>
      <c r="H827" s="3" t="s">
        <v>4261</v>
      </c>
    </row>
    <row r="828" spans="1:8" ht="48" customHeight="1">
      <c r="A828" s="4" t="s">
        <v>2288</v>
      </c>
      <c r="B828" s="4" t="s">
        <v>4262</v>
      </c>
      <c r="C828" s="4" t="s">
        <v>1465</v>
      </c>
      <c r="D828" s="4" t="s">
        <v>4263</v>
      </c>
      <c r="E828" s="9">
        <v>1595</v>
      </c>
      <c r="F828" s="4" t="s">
        <v>2333</v>
      </c>
      <c r="G828" s="4" t="s">
        <v>1664</v>
      </c>
      <c r="H828" s="4" t="s">
        <v>4264</v>
      </c>
    </row>
    <row r="829" spans="1:8" ht="48" customHeight="1">
      <c r="A829" s="3" t="s">
        <v>2498</v>
      </c>
      <c r="B829" s="3" t="s">
        <v>2500</v>
      </c>
      <c r="C829" s="3" t="s">
        <v>1465</v>
      </c>
      <c r="D829" s="3" t="s">
        <v>2501</v>
      </c>
      <c r="E829" s="8">
        <v>1157</v>
      </c>
      <c r="F829" s="3" t="s">
        <v>2502</v>
      </c>
      <c r="G829" s="3" t="s">
        <v>1664</v>
      </c>
      <c r="H829" s="3" t="s">
        <v>4265</v>
      </c>
    </row>
    <row r="830" spans="1:8" ht="66" customHeight="1">
      <c r="A830" s="4" t="s">
        <v>1660</v>
      </c>
      <c r="B830" s="4" t="s">
        <v>2160</v>
      </c>
      <c r="C830" s="4" t="s">
        <v>1643</v>
      </c>
      <c r="D830" s="4" t="s">
        <v>2161</v>
      </c>
      <c r="E830" s="9">
        <v>19268</v>
      </c>
      <c r="F830" s="4" t="s">
        <v>2162</v>
      </c>
      <c r="G830" s="4" t="s">
        <v>1642</v>
      </c>
      <c r="H830" s="4" t="s">
        <v>4266</v>
      </c>
    </row>
    <row r="831" spans="1:8" ht="66" customHeight="1">
      <c r="A831" s="3" t="s">
        <v>1660</v>
      </c>
      <c r="B831" s="3" t="s">
        <v>2082</v>
      </c>
      <c r="C831" s="3" t="s">
        <v>1643</v>
      </c>
      <c r="D831" s="3" t="s">
        <v>2083</v>
      </c>
      <c r="E831" s="8">
        <v>15778</v>
      </c>
      <c r="F831" s="3" t="s">
        <v>2084</v>
      </c>
      <c r="G831" s="3" t="s">
        <v>1642</v>
      </c>
      <c r="H831" s="3" t="s">
        <v>2837</v>
      </c>
    </row>
    <row r="832" spans="1:8" ht="48" customHeight="1">
      <c r="A832" s="4" t="s">
        <v>1660</v>
      </c>
      <c r="B832" s="4" t="s">
        <v>1661</v>
      </c>
      <c r="C832" s="4" t="s">
        <v>1643</v>
      </c>
      <c r="D832" s="4" t="s">
        <v>1662</v>
      </c>
      <c r="E832" s="9">
        <v>8727</v>
      </c>
      <c r="F832" s="4" t="s">
        <v>1663</v>
      </c>
      <c r="G832" s="4" t="s">
        <v>1664</v>
      </c>
      <c r="H832" s="4" t="s">
        <v>4267</v>
      </c>
    </row>
    <row r="833" spans="1:8" ht="30" customHeight="1">
      <c r="A833" s="3" t="s">
        <v>1660</v>
      </c>
      <c r="B833" s="3" t="s">
        <v>2838</v>
      </c>
      <c r="C833" s="3" t="s">
        <v>1643</v>
      </c>
      <c r="D833" s="3" t="s">
        <v>2839</v>
      </c>
      <c r="E833" s="8">
        <v>2772</v>
      </c>
      <c r="F833" s="3" t="s">
        <v>1865</v>
      </c>
      <c r="G833" s="3" t="s">
        <v>1642</v>
      </c>
      <c r="H833" s="3" t="s">
        <v>2840</v>
      </c>
    </row>
    <row r="834" spans="1:8" ht="48" customHeight="1">
      <c r="A834" s="4" t="s">
        <v>1660</v>
      </c>
      <c r="B834" s="4" t="s">
        <v>2859</v>
      </c>
      <c r="C834" s="4" t="s">
        <v>1643</v>
      </c>
      <c r="D834" s="4" t="s">
        <v>2860</v>
      </c>
      <c r="E834" s="9">
        <v>1593</v>
      </c>
      <c r="F834" s="4" t="s">
        <v>2687</v>
      </c>
      <c r="G834" s="4" t="s">
        <v>1664</v>
      </c>
      <c r="H834" s="4" t="s">
        <v>4268</v>
      </c>
    </row>
    <row r="835" spans="1:8" ht="30" customHeight="1">
      <c r="A835" s="3" t="s">
        <v>1660</v>
      </c>
      <c r="B835" s="3" t="s">
        <v>2685</v>
      </c>
      <c r="C835" s="3" t="s">
        <v>1643</v>
      </c>
      <c r="D835" s="3" t="s">
        <v>2686</v>
      </c>
      <c r="E835" s="8">
        <v>1590</v>
      </c>
      <c r="F835" s="3" t="s">
        <v>2687</v>
      </c>
      <c r="G835" s="3" t="s">
        <v>1664</v>
      </c>
      <c r="H835" s="3" t="s">
        <v>4269</v>
      </c>
    </row>
    <row r="836" spans="1:8" ht="30" customHeight="1">
      <c r="A836" s="4" t="s">
        <v>1660</v>
      </c>
      <c r="B836" s="4" t="s">
        <v>4270</v>
      </c>
      <c r="C836" s="4" t="s">
        <v>1643</v>
      </c>
      <c r="D836" s="4" t="s">
        <v>4271</v>
      </c>
      <c r="E836" s="9">
        <v>1313</v>
      </c>
      <c r="F836" s="4" t="s">
        <v>1362</v>
      </c>
      <c r="G836" s="4" t="s">
        <v>1664</v>
      </c>
      <c r="H836" s="4" t="s">
        <v>4272</v>
      </c>
    </row>
    <row r="837" spans="1:8" ht="30" customHeight="1">
      <c r="A837" s="3" t="s">
        <v>1660</v>
      </c>
      <c r="B837" s="3" t="s">
        <v>2689</v>
      </c>
      <c r="C837" s="3" t="s">
        <v>1643</v>
      </c>
      <c r="D837" s="3" t="s">
        <v>2690</v>
      </c>
      <c r="E837" s="8">
        <v>1207</v>
      </c>
      <c r="F837" s="3" t="s">
        <v>1376</v>
      </c>
      <c r="G837" s="3" t="s">
        <v>1642</v>
      </c>
      <c r="H837" s="3" t="s">
        <v>4273</v>
      </c>
    </row>
    <row r="838" spans="1:8" ht="84" customHeight="1">
      <c r="A838" s="4" t="s">
        <v>1660</v>
      </c>
      <c r="B838" s="4" t="s">
        <v>4274</v>
      </c>
      <c r="C838" s="4" t="s">
        <v>1465</v>
      </c>
      <c r="D838" s="4" t="s">
        <v>4275</v>
      </c>
      <c r="E838" s="9">
        <v>22964</v>
      </c>
      <c r="F838" s="4" t="s">
        <v>1641</v>
      </c>
      <c r="G838" s="4" t="s">
        <v>1642</v>
      </c>
      <c r="H838" s="4" t="s">
        <v>4276</v>
      </c>
    </row>
    <row r="839" spans="1:8" ht="84" customHeight="1">
      <c r="A839" s="3" t="s">
        <v>1660</v>
      </c>
      <c r="B839" s="3" t="s">
        <v>4277</v>
      </c>
      <c r="C839" s="3" t="s">
        <v>1465</v>
      </c>
      <c r="D839" s="3" t="s">
        <v>4278</v>
      </c>
      <c r="E839" s="8">
        <v>22911</v>
      </c>
      <c r="F839" s="3" t="s">
        <v>1641</v>
      </c>
      <c r="G839" s="3" t="s">
        <v>1642</v>
      </c>
      <c r="H839" s="3" t="s">
        <v>4276</v>
      </c>
    </row>
    <row r="840" spans="1:8" ht="84" customHeight="1">
      <c r="A840" s="4" t="s">
        <v>1660</v>
      </c>
      <c r="B840" s="4" t="s">
        <v>4279</v>
      </c>
      <c r="C840" s="4" t="s">
        <v>1465</v>
      </c>
      <c r="D840" s="4" t="s">
        <v>4280</v>
      </c>
      <c r="E840" s="9">
        <v>22883</v>
      </c>
      <c r="F840" s="4" t="s">
        <v>1641</v>
      </c>
      <c r="G840" s="4" t="s">
        <v>1642</v>
      </c>
      <c r="H840" s="4" t="s">
        <v>4276</v>
      </c>
    </row>
    <row r="841" spans="1:8" ht="84" customHeight="1">
      <c r="A841" s="3" t="s">
        <v>1660</v>
      </c>
      <c r="B841" s="3" t="s">
        <v>1648</v>
      </c>
      <c r="C841" s="3" t="s">
        <v>1465</v>
      </c>
      <c r="D841" s="3" t="s">
        <v>1649</v>
      </c>
      <c r="E841" s="8">
        <v>22847</v>
      </c>
      <c r="F841" s="3" t="s">
        <v>1641</v>
      </c>
      <c r="G841" s="3" t="s">
        <v>1642</v>
      </c>
      <c r="H841" s="3" t="s">
        <v>4276</v>
      </c>
    </row>
    <row r="842" spans="1:8" ht="84" customHeight="1">
      <c r="A842" s="4" t="s">
        <v>1660</v>
      </c>
      <c r="B842" s="4" t="s">
        <v>4281</v>
      </c>
      <c r="C842" s="4" t="s">
        <v>1465</v>
      </c>
      <c r="D842" s="4" t="s">
        <v>4282</v>
      </c>
      <c r="E842" s="9">
        <v>22845</v>
      </c>
      <c r="F842" s="4" t="s">
        <v>1641</v>
      </c>
      <c r="G842" s="4" t="s">
        <v>1642</v>
      </c>
      <c r="H842" s="4" t="s">
        <v>4276</v>
      </c>
    </row>
    <row r="843" spans="1:8" ht="84" customHeight="1">
      <c r="A843" s="3" t="s">
        <v>1660</v>
      </c>
      <c r="B843" s="3" t="s">
        <v>1066</v>
      </c>
      <c r="C843" s="3" t="s">
        <v>1465</v>
      </c>
      <c r="D843" s="3" t="s">
        <v>4283</v>
      </c>
      <c r="E843" s="8">
        <v>22791</v>
      </c>
      <c r="F843" s="3" t="s">
        <v>1641</v>
      </c>
      <c r="G843" s="3" t="s">
        <v>1642</v>
      </c>
      <c r="H843" s="3" t="s">
        <v>4276</v>
      </c>
    </row>
    <row r="844" spans="1:8" ht="84" customHeight="1">
      <c r="A844" s="4" t="s">
        <v>1660</v>
      </c>
      <c r="B844" s="4" t="s">
        <v>4284</v>
      </c>
      <c r="C844" s="4" t="s">
        <v>1465</v>
      </c>
      <c r="D844" s="4" t="s">
        <v>4285</v>
      </c>
      <c r="E844" s="9">
        <v>22756</v>
      </c>
      <c r="F844" s="4" t="s">
        <v>1641</v>
      </c>
      <c r="G844" s="4" t="s">
        <v>1642</v>
      </c>
      <c r="H844" s="4" t="s">
        <v>4276</v>
      </c>
    </row>
    <row r="845" spans="1:8" ht="84" customHeight="1">
      <c r="A845" s="3" t="s">
        <v>1660</v>
      </c>
      <c r="B845" s="3" t="s">
        <v>4286</v>
      </c>
      <c r="C845" s="3" t="s">
        <v>1465</v>
      </c>
      <c r="D845" s="3" t="s">
        <v>4287</v>
      </c>
      <c r="E845" s="8">
        <v>22692</v>
      </c>
      <c r="F845" s="3" t="s">
        <v>1641</v>
      </c>
      <c r="G845" s="3" t="s">
        <v>1642</v>
      </c>
      <c r="H845" s="3" t="s">
        <v>4276</v>
      </c>
    </row>
    <row r="846" spans="1:8" ht="84" customHeight="1">
      <c r="A846" s="4" t="s">
        <v>1660</v>
      </c>
      <c r="B846" s="4" t="s">
        <v>4288</v>
      </c>
      <c r="C846" s="4" t="s">
        <v>1465</v>
      </c>
      <c r="D846" s="4" t="s">
        <v>4289</v>
      </c>
      <c r="E846" s="9">
        <v>22672</v>
      </c>
      <c r="F846" s="4" t="s">
        <v>1641</v>
      </c>
      <c r="G846" s="4" t="s">
        <v>1642</v>
      </c>
      <c r="H846" s="4" t="s">
        <v>4276</v>
      </c>
    </row>
    <row r="847" spans="1:8" ht="84" customHeight="1">
      <c r="A847" s="3" t="s">
        <v>1660</v>
      </c>
      <c r="B847" s="3" t="s">
        <v>4290</v>
      </c>
      <c r="C847" s="3" t="s">
        <v>1465</v>
      </c>
      <c r="D847" s="3" t="s">
        <v>4291</v>
      </c>
      <c r="E847" s="8">
        <v>22538</v>
      </c>
      <c r="F847" s="3" t="s">
        <v>1641</v>
      </c>
      <c r="G847" s="3" t="s">
        <v>1642</v>
      </c>
      <c r="H847" s="3" t="s">
        <v>4276</v>
      </c>
    </row>
    <row r="848" spans="1:8" ht="84" customHeight="1">
      <c r="A848" s="4" t="s">
        <v>1660</v>
      </c>
      <c r="B848" s="4" t="s">
        <v>4292</v>
      </c>
      <c r="C848" s="4" t="s">
        <v>1465</v>
      </c>
      <c r="D848" s="4" t="s">
        <v>4293</v>
      </c>
      <c r="E848" s="9">
        <v>22523</v>
      </c>
      <c r="F848" s="4" t="s">
        <v>1641</v>
      </c>
      <c r="G848" s="4" t="s">
        <v>1642</v>
      </c>
      <c r="H848" s="4" t="s">
        <v>4276</v>
      </c>
    </row>
    <row r="849" spans="1:8" ht="84" customHeight="1">
      <c r="A849" s="3" t="s">
        <v>1660</v>
      </c>
      <c r="B849" s="3" t="s">
        <v>4294</v>
      </c>
      <c r="C849" s="3" t="s">
        <v>1465</v>
      </c>
      <c r="D849" s="3" t="s">
        <v>4295</v>
      </c>
      <c r="E849" s="8">
        <v>22520</v>
      </c>
      <c r="F849" s="3" t="s">
        <v>1641</v>
      </c>
      <c r="G849" s="3" t="s">
        <v>1642</v>
      </c>
      <c r="H849" s="3" t="s">
        <v>4276</v>
      </c>
    </row>
    <row r="850" spans="1:8" ht="84" customHeight="1">
      <c r="A850" s="4" t="s">
        <v>1660</v>
      </c>
      <c r="B850" s="4" t="s">
        <v>4296</v>
      </c>
      <c r="C850" s="4" t="s">
        <v>1465</v>
      </c>
      <c r="D850" s="4" t="s">
        <v>4297</v>
      </c>
      <c r="E850" s="9">
        <v>22510</v>
      </c>
      <c r="F850" s="4" t="s">
        <v>1641</v>
      </c>
      <c r="G850" s="4" t="s">
        <v>1642</v>
      </c>
      <c r="H850" s="4" t="s">
        <v>4276</v>
      </c>
    </row>
    <row r="851" spans="1:8" ht="84" customHeight="1">
      <c r="A851" s="3" t="s">
        <v>1660</v>
      </c>
      <c r="B851" s="3" t="s">
        <v>4298</v>
      </c>
      <c r="C851" s="3" t="s">
        <v>1465</v>
      </c>
      <c r="D851" s="3" t="s">
        <v>4299</v>
      </c>
      <c r="E851" s="8">
        <v>22376</v>
      </c>
      <c r="F851" s="3" t="s">
        <v>1641</v>
      </c>
      <c r="G851" s="3" t="s">
        <v>1642</v>
      </c>
      <c r="H851" s="3" t="s">
        <v>4276</v>
      </c>
    </row>
    <row r="852" spans="1:8" ht="84" customHeight="1">
      <c r="A852" s="4" t="s">
        <v>1660</v>
      </c>
      <c r="B852" s="4" t="s">
        <v>4300</v>
      </c>
      <c r="C852" s="4" t="s">
        <v>1465</v>
      </c>
      <c r="D852" s="4" t="s">
        <v>4301</v>
      </c>
      <c r="E852" s="9">
        <v>22372</v>
      </c>
      <c r="F852" s="4" t="s">
        <v>1641</v>
      </c>
      <c r="G852" s="4" t="s">
        <v>1642</v>
      </c>
      <c r="H852" s="4" t="s">
        <v>4276</v>
      </c>
    </row>
    <row r="853" spans="1:8" ht="84" customHeight="1">
      <c r="A853" s="3" t="s">
        <v>1660</v>
      </c>
      <c r="B853" s="3" t="s">
        <v>1685</v>
      </c>
      <c r="C853" s="3" t="s">
        <v>1465</v>
      </c>
      <c r="D853" s="3" t="s">
        <v>1686</v>
      </c>
      <c r="E853" s="8">
        <v>22188</v>
      </c>
      <c r="F853" s="3" t="s">
        <v>1641</v>
      </c>
      <c r="G853" s="3" t="s">
        <v>1642</v>
      </c>
      <c r="H853" s="3" t="s">
        <v>4276</v>
      </c>
    </row>
    <row r="854" spans="1:8" ht="84" customHeight="1">
      <c r="A854" s="4" t="s">
        <v>1660</v>
      </c>
      <c r="B854" s="4" t="s">
        <v>2841</v>
      </c>
      <c r="C854" s="4" t="s">
        <v>1465</v>
      </c>
      <c r="D854" s="4" t="s">
        <v>2842</v>
      </c>
      <c r="E854" s="9">
        <v>21627</v>
      </c>
      <c r="F854" s="4" t="s">
        <v>2843</v>
      </c>
      <c r="G854" s="4" t="s">
        <v>1642</v>
      </c>
      <c r="H854" s="4" t="s">
        <v>4302</v>
      </c>
    </row>
    <row r="855" spans="1:8" ht="66" customHeight="1">
      <c r="A855" s="3" t="s">
        <v>1660</v>
      </c>
      <c r="B855" s="3" t="s">
        <v>1245</v>
      </c>
      <c r="C855" s="3" t="s">
        <v>1465</v>
      </c>
      <c r="D855" s="3" t="s">
        <v>2845</v>
      </c>
      <c r="E855" s="8">
        <v>18598</v>
      </c>
      <c r="F855" s="3" t="s">
        <v>2846</v>
      </c>
      <c r="G855" s="3" t="s">
        <v>1642</v>
      </c>
      <c r="H855" s="3" t="s">
        <v>4303</v>
      </c>
    </row>
    <row r="856" spans="1:8" ht="48" customHeight="1">
      <c r="A856" s="4" t="s">
        <v>1660</v>
      </c>
      <c r="B856" s="4" t="s">
        <v>4304</v>
      </c>
      <c r="C856" s="4" t="s">
        <v>1465</v>
      </c>
      <c r="D856" s="4" t="s">
        <v>4305</v>
      </c>
      <c r="E856" s="9">
        <v>8213</v>
      </c>
      <c r="F856" s="4" t="s">
        <v>4306</v>
      </c>
      <c r="G856" s="4" t="s">
        <v>1642</v>
      </c>
      <c r="H856" s="4" t="s">
        <v>4276</v>
      </c>
    </row>
    <row r="857" spans="1:8" ht="48" customHeight="1">
      <c r="A857" s="3" t="s">
        <v>1660</v>
      </c>
      <c r="B857" s="3" t="s">
        <v>2849</v>
      </c>
      <c r="C857" s="3" t="s">
        <v>1465</v>
      </c>
      <c r="D857" s="3" t="s">
        <v>2850</v>
      </c>
      <c r="E857" s="8">
        <v>7103</v>
      </c>
      <c r="F857" s="3" t="s">
        <v>2851</v>
      </c>
      <c r="G857" s="3" t="s">
        <v>1642</v>
      </c>
      <c r="H857" s="3" t="s">
        <v>4307</v>
      </c>
    </row>
    <row r="858" spans="1:8" ht="48" customHeight="1">
      <c r="A858" s="4" t="s">
        <v>1660</v>
      </c>
      <c r="B858" s="4" t="s">
        <v>4308</v>
      </c>
      <c r="C858" s="4" t="s">
        <v>1465</v>
      </c>
      <c r="D858" s="4" t="s">
        <v>4309</v>
      </c>
      <c r="E858" s="9">
        <v>4228</v>
      </c>
      <c r="F858" s="4" t="s">
        <v>4310</v>
      </c>
      <c r="G858" s="4" t="s">
        <v>1664</v>
      </c>
      <c r="H858" s="4" t="s">
        <v>4311</v>
      </c>
    </row>
    <row r="859" spans="1:8" ht="30" customHeight="1">
      <c r="A859" s="3" t="s">
        <v>1660</v>
      </c>
      <c r="B859" s="3" t="s">
        <v>2853</v>
      </c>
      <c r="C859" s="3" t="s">
        <v>1465</v>
      </c>
      <c r="D859" s="3" t="s">
        <v>2854</v>
      </c>
      <c r="E859" s="8">
        <v>3839</v>
      </c>
      <c r="F859" s="3" t="s">
        <v>2855</v>
      </c>
      <c r="G859" s="3" t="s">
        <v>1642</v>
      </c>
      <c r="H859" s="3" t="s">
        <v>4312</v>
      </c>
    </row>
    <row r="860" spans="1:8" ht="48" customHeight="1">
      <c r="A860" s="4" t="s">
        <v>1660</v>
      </c>
      <c r="B860" s="4" t="s">
        <v>4313</v>
      </c>
      <c r="C860" s="4" t="s">
        <v>1465</v>
      </c>
      <c r="D860" s="4" t="s">
        <v>4314</v>
      </c>
      <c r="E860" s="9">
        <v>3606</v>
      </c>
      <c r="F860" s="4" t="s">
        <v>2209</v>
      </c>
      <c r="G860" s="4" t="s">
        <v>1642</v>
      </c>
      <c r="H860" s="4" t="s">
        <v>4276</v>
      </c>
    </row>
    <row r="861" spans="1:8" ht="48" customHeight="1">
      <c r="A861" s="3" t="s">
        <v>1660</v>
      </c>
      <c r="B861" s="3" t="s">
        <v>4315</v>
      </c>
      <c r="C861" s="3" t="s">
        <v>1465</v>
      </c>
      <c r="D861" s="3" t="s">
        <v>4316</v>
      </c>
      <c r="E861" s="8">
        <v>3600</v>
      </c>
      <c r="F861" s="3" t="s">
        <v>2209</v>
      </c>
      <c r="G861" s="3" t="s">
        <v>1642</v>
      </c>
      <c r="H861" s="3" t="s">
        <v>4276</v>
      </c>
    </row>
    <row r="862" spans="1:8" ht="30" customHeight="1">
      <c r="A862" s="4" t="s">
        <v>1660</v>
      </c>
      <c r="B862" s="4" t="s">
        <v>2856</v>
      </c>
      <c r="C862" s="4" t="s">
        <v>1465</v>
      </c>
      <c r="D862" s="4" t="s">
        <v>2857</v>
      </c>
      <c r="E862" s="9">
        <v>2599</v>
      </c>
      <c r="F862" s="4" t="s">
        <v>1690</v>
      </c>
      <c r="G862" s="4" t="s">
        <v>1642</v>
      </c>
      <c r="H862" s="4" t="s">
        <v>4317</v>
      </c>
    </row>
    <row r="863" spans="1:8" ht="30" customHeight="1">
      <c r="A863" s="3" t="s">
        <v>1660</v>
      </c>
      <c r="B863" s="3" t="s">
        <v>4318</v>
      </c>
      <c r="C863" s="3" t="s">
        <v>1465</v>
      </c>
      <c r="D863" s="3" t="s">
        <v>4319</v>
      </c>
      <c r="E863" s="8">
        <v>2507</v>
      </c>
      <c r="F863" s="3" t="s">
        <v>1684</v>
      </c>
      <c r="G863" s="3" t="s">
        <v>1642</v>
      </c>
      <c r="H863" s="3" t="s">
        <v>4320</v>
      </c>
    </row>
    <row r="864" spans="1:8" ht="30" customHeight="1">
      <c r="A864" s="4" t="s">
        <v>1660</v>
      </c>
      <c r="B864" s="4" t="s">
        <v>4321</v>
      </c>
      <c r="C864" s="4" t="s">
        <v>1465</v>
      </c>
      <c r="D864" s="4" t="s">
        <v>4322</v>
      </c>
      <c r="E864" s="9">
        <v>2503</v>
      </c>
      <c r="F864" s="4" t="s">
        <v>1684</v>
      </c>
      <c r="G864" s="4" t="s">
        <v>1642</v>
      </c>
      <c r="H864" s="4" t="s">
        <v>4323</v>
      </c>
    </row>
    <row r="865" spans="1:8" ht="30" customHeight="1">
      <c r="A865" s="3" t="s">
        <v>1660</v>
      </c>
      <c r="B865" s="3" t="s">
        <v>4324</v>
      </c>
      <c r="C865" s="3" t="s">
        <v>1465</v>
      </c>
      <c r="D865" s="3" t="s">
        <v>4325</v>
      </c>
      <c r="E865" s="8">
        <v>2502</v>
      </c>
      <c r="F865" s="3" t="s">
        <v>1684</v>
      </c>
      <c r="G865" s="3" t="s">
        <v>1642</v>
      </c>
      <c r="H865" s="3" t="s">
        <v>4326</v>
      </c>
    </row>
    <row r="866" spans="1:8" ht="30" customHeight="1">
      <c r="A866" s="4" t="s">
        <v>1660</v>
      </c>
      <c r="B866" s="4" t="s">
        <v>4327</v>
      </c>
      <c r="C866" s="4" t="s">
        <v>1465</v>
      </c>
      <c r="D866" s="4" t="s">
        <v>4328</v>
      </c>
      <c r="E866" s="9">
        <v>2500</v>
      </c>
      <c r="F866" s="4" t="s">
        <v>1684</v>
      </c>
      <c r="G866" s="4" t="s">
        <v>1642</v>
      </c>
      <c r="H866" s="4" t="s">
        <v>4329</v>
      </c>
    </row>
    <row r="867" spans="1:8" ht="30" customHeight="1">
      <c r="A867" s="3" t="s">
        <v>1660</v>
      </c>
      <c r="B867" s="3" t="s">
        <v>4330</v>
      </c>
      <c r="C867" s="3" t="s">
        <v>1465</v>
      </c>
      <c r="D867" s="3" t="s">
        <v>4331</v>
      </c>
      <c r="E867" s="8">
        <v>2494</v>
      </c>
      <c r="F867" s="3" t="s">
        <v>1684</v>
      </c>
      <c r="G867" s="3" t="s">
        <v>1642</v>
      </c>
      <c r="H867" s="3" t="s">
        <v>4332</v>
      </c>
    </row>
    <row r="868" spans="1:8" ht="48" customHeight="1">
      <c r="A868" s="4" t="s">
        <v>1660</v>
      </c>
      <c r="B868" s="4" t="s">
        <v>4333</v>
      </c>
      <c r="C868" s="4" t="s">
        <v>1465</v>
      </c>
      <c r="D868" s="4" t="s">
        <v>4334</v>
      </c>
      <c r="E868" s="9">
        <v>2413</v>
      </c>
      <c r="F868" s="4" t="s">
        <v>4335</v>
      </c>
      <c r="G868" s="4" t="s">
        <v>1642</v>
      </c>
      <c r="H868" s="4" t="s">
        <v>4276</v>
      </c>
    </row>
    <row r="869" spans="1:8" ht="48" customHeight="1">
      <c r="A869" s="3" t="s">
        <v>1660</v>
      </c>
      <c r="B869" s="3" t="s">
        <v>4336</v>
      </c>
      <c r="C869" s="3" t="s">
        <v>1465</v>
      </c>
      <c r="D869" s="3" t="s">
        <v>4337</v>
      </c>
      <c r="E869" s="8">
        <v>2396</v>
      </c>
      <c r="F869" s="3" t="s">
        <v>1778</v>
      </c>
      <c r="G869" s="3" t="s">
        <v>1642</v>
      </c>
      <c r="H869" s="3" t="s">
        <v>4276</v>
      </c>
    </row>
    <row r="870" spans="1:8" ht="48" customHeight="1">
      <c r="A870" s="4" t="s">
        <v>1660</v>
      </c>
      <c r="B870" s="4" t="s">
        <v>4338</v>
      </c>
      <c r="C870" s="4" t="s">
        <v>1465</v>
      </c>
      <c r="D870" s="4" t="s">
        <v>4339</v>
      </c>
      <c r="E870" s="9">
        <v>2082</v>
      </c>
      <c r="F870" s="4" t="s">
        <v>1900</v>
      </c>
      <c r="G870" s="4" t="s">
        <v>1642</v>
      </c>
      <c r="H870" s="4" t="s">
        <v>4340</v>
      </c>
    </row>
    <row r="871" spans="1:8" ht="48" customHeight="1">
      <c r="A871" s="3" t="s">
        <v>1660</v>
      </c>
      <c r="B871" s="3" t="s">
        <v>4341</v>
      </c>
      <c r="C871" s="3" t="s">
        <v>1465</v>
      </c>
      <c r="D871" s="3" t="s">
        <v>4342</v>
      </c>
      <c r="E871" s="8">
        <v>2082</v>
      </c>
      <c r="F871" s="3" t="s">
        <v>1900</v>
      </c>
      <c r="G871" s="3" t="s">
        <v>1642</v>
      </c>
      <c r="H871" s="3" t="s">
        <v>4340</v>
      </c>
    </row>
    <row r="872" spans="1:8" ht="48" customHeight="1">
      <c r="A872" s="4" t="s">
        <v>1660</v>
      </c>
      <c r="B872" s="4" t="s">
        <v>4343</v>
      </c>
      <c r="C872" s="4" t="s">
        <v>1465</v>
      </c>
      <c r="D872" s="4" t="s">
        <v>4344</v>
      </c>
      <c r="E872" s="9">
        <v>2081</v>
      </c>
      <c r="F872" s="4" t="s">
        <v>1900</v>
      </c>
      <c r="G872" s="4" t="s">
        <v>1642</v>
      </c>
      <c r="H872" s="4" t="s">
        <v>4340</v>
      </c>
    </row>
    <row r="873" spans="1:8" ht="30" customHeight="1">
      <c r="A873" s="3" t="s">
        <v>1660</v>
      </c>
      <c r="B873" s="3" t="s">
        <v>4345</v>
      </c>
      <c r="C873" s="3" t="s">
        <v>1465</v>
      </c>
      <c r="D873" s="3" t="s">
        <v>4346</v>
      </c>
      <c r="E873" s="8">
        <v>1553</v>
      </c>
      <c r="F873" s="3" t="s">
        <v>1672</v>
      </c>
      <c r="G873" s="3" t="s">
        <v>1664</v>
      </c>
      <c r="H873" s="3" t="s">
        <v>4303</v>
      </c>
    </row>
    <row r="874" spans="1:8" ht="48" customHeight="1">
      <c r="A874" s="4" t="s">
        <v>1660</v>
      </c>
      <c r="B874" s="4" t="s">
        <v>4347</v>
      </c>
      <c r="C874" s="4" t="s">
        <v>1465</v>
      </c>
      <c r="D874" s="4" t="s">
        <v>4348</v>
      </c>
      <c r="E874" s="9">
        <v>1205</v>
      </c>
      <c r="F874" s="4" t="s">
        <v>1380</v>
      </c>
      <c r="G874" s="4" t="s">
        <v>1642</v>
      </c>
      <c r="H874" s="4" t="s">
        <v>4276</v>
      </c>
    </row>
    <row r="875" spans="1:8" ht="48" customHeight="1">
      <c r="A875" s="3" t="s">
        <v>1660</v>
      </c>
      <c r="B875" s="3" t="s">
        <v>4349</v>
      </c>
      <c r="C875" s="3" t="s">
        <v>1465</v>
      </c>
      <c r="D875" s="3" t="s">
        <v>4350</v>
      </c>
      <c r="E875" s="8">
        <v>1204</v>
      </c>
      <c r="F875" s="3" t="s">
        <v>1380</v>
      </c>
      <c r="G875" s="3" t="s">
        <v>1642</v>
      </c>
      <c r="H875" s="3" t="s">
        <v>4276</v>
      </c>
    </row>
    <row r="876" spans="1:8" ht="48" customHeight="1">
      <c r="A876" s="4" t="s">
        <v>1660</v>
      </c>
      <c r="B876" s="4" t="s">
        <v>4351</v>
      </c>
      <c r="C876" s="4" t="s">
        <v>1465</v>
      </c>
      <c r="D876" s="4" t="s">
        <v>4352</v>
      </c>
      <c r="E876" s="9">
        <v>1194</v>
      </c>
      <c r="F876" s="4" t="s">
        <v>1380</v>
      </c>
      <c r="G876" s="4" t="s">
        <v>1642</v>
      </c>
      <c r="H876" s="4" t="s">
        <v>4276</v>
      </c>
    </row>
    <row r="877" spans="1:8" ht="30" customHeight="1">
      <c r="A877" s="3" t="s">
        <v>1967</v>
      </c>
      <c r="B877" s="3" t="s">
        <v>1969</v>
      </c>
      <c r="C877" s="3" t="s">
        <v>1643</v>
      </c>
      <c r="D877" s="3" t="s">
        <v>1970</v>
      </c>
      <c r="E877" s="8">
        <v>1204</v>
      </c>
      <c r="F877" s="3" t="s">
        <v>1380</v>
      </c>
      <c r="G877" s="3" t="s">
        <v>1642</v>
      </c>
      <c r="H877" s="3" t="s">
        <v>4353</v>
      </c>
    </row>
    <row r="878" spans="1:8" ht="48" customHeight="1">
      <c r="A878" s="4" t="s">
        <v>1967</v>
      </c>
      <c r="B878" s="4" t="s">
        <v>2023</v>
      </c>
      <c r="C878" s="4" t="s">
        <v>1465</v>
      </c>
      <c r="D878" s="4" t="s">
        <v>3922</v>
      </c>
      <c r="E878" s="9">
        <v>1200</v>
      </c>
      <c r="F878" s="4" t="s">
        <v>1380</v>
      </c>
      <c r="G878" s="4" t="s">
        <v>1642</v>
      </c>
      <c r="H878" s="4" t="s">
        <v>4354</v>
      </c>
    </row>
    <row r="879" spans="1:8" ht="30" customHeight="1">
      <c r="A879" s="3" t="s">
        <v>1971</v>
      </c>
      <c r="B879" s="3" t="s">
        <v>1973</v>
      </c>
      <c r="C879" s="3" t="s">
        <v>1643</v>
      </c>
      <c r="D879" s="3" t="s">
        <v>1974</v>
      </c>
      <c r="E879" s="8">
        <v>1204</v>
      </c>
      <c r="F879" s="3" t="s">
        <v>1380</v>
      </c>
      <c r="G879" s="3" t="s">
        <v>1642</v>
      </c>
      <c r="H879" s="3" t="s">
        <v>4355</v>
      </c>
    </row>
    <row r="880" spans="1:8" ht="48" customHeight="1">
      <c r="A880" s="4" t="s">
        <v>1971</v>
      </c>
      <c r="B880" s="4" t="s">
        <v>608</v>
      </c>
      <c r="C880" s="4" t="s">
        <v>1465</v>
      </c>
      <c r="D880" s="4" t="s">
        <v>1888</v>
      </c>
      <c r="E880" s="9">
        <v>2535</v>
      </c>
      <c r="F880" s="4" t="s">
        <v>1684</v>
      </c>
      <c r="G880" s="4" t="s">
        <v>1642</v>
      </c>
      <c r="H880" s="4" t="s">
        <v>4356</v>
      </c>
    </row>
    <row r="881" spans="1:8" ht="48" customHeight="1">
      <c r="A881" s="3" t="s">
        <v>1971</v>
      </c>
      <c r="B881" s="3" t="s">
        <v>2026</v>
      </c>
      <c r="C881" s="3" t="s">
        <v>1465</v>
      </c>
      <c r="D881" s="3" t="s">
        <v>2474</v>
      </c>
      <c r="E881" s="8">
        <v>1201</v>
      </c>
      <c r="F881" s="3" t="s">
        <v>1380</v>
      </c>
      <c r="G881" s="3" t="s">
        <v>1642</v>
      </c>
      <c r="H881" s="3" t="s">
        <v>4357</v>
      </c>
    </row>
    <row r="882" spans="1:8" ht="48" customHeight="1">
      <c r="A882" s="4" t="s">
        <v>2311</v>
      </c>
      <c r="B882" s="4" t="s">
        <v>2313</v>
      </c>
      <c r="C882" s="4" t="s">
        <v>1465</v>
      </c>
      <c r="D882" s="4" t="s">
        <v>2314</v>
      </c>
      <c r="E882" s="9">
        <v>2195</v>
      </c>
      <c r="F882" s="4" t="s">
        <v>2315</v>
      </c>
      <c r="G882" s="4" t="s">
        <v>1642</v>
      </c>
      <c r="H882" s="4" t="s">
        <v>4358</v>
      </c>
    </row>
    <row r="883" spans="1:8" ht="30" customHeight="1">
      <c r="A883" s="3" t="s">
        <v>2311</v>
      </c>
      <c r="B883" s="3" t="s">
        <v>4359</v>
      </c>
      <c r="C883" s="3" t="s">
        <v>1465</v>
      </c>
      <c r="D883" s="3" t="s">
        <v>4360</v>
      </c>
      <c r="E883" s="8">
        <v>1554</v>
      </c>
      <c r="F883" s="3" t="s">
        <v>1693</v>
      </c>
      <c r="G883" s="3" t="s">
        <v>1664</v>
      </c>
      <c r="H883" s="3" t="s">
        <v>4361</v>
      </c>
    </row>
    <row r="884" spans="1:8" ht="30" customHeight="1">
      <c r="A884" s="4" t="s">
        <v>2311</v>
      </c>
      <c r="B884" s="4" t="s">
        <v>4362</v>
      </c>
      <c r="C884" s="4" t="s">
        <v>1465</v>
      </c>
      <c r="D884" s="4" t="s">
        <v>4363</v>
      </c>
      <c r="E884" s="9">
        <v>1312</v>
      </c>
      <c r="F884" s="4" t="s">
        <v>1362</v>
      </c>
      <c r="G884" s="4" t="s">
        <v>1664</v>
      </c>
      <c r="H884" s="4" t="s">
        <v>4364</v>
      </c>
    </row>
    <row r="885" spans="1:8" ht="30" customHeight="1">
      <c r="A885" s="3" t="s">
        <v>2311</v>
      </c>
      <c r="B885" s="3" t="s">
        <v>4365</v>
      </c>
      <c r="C885" s="3" t="s">
        <v>1465</v>
      </c>
      <c r="D885" s="3" t="s">
        <v>4366</v>
      </c>
      <c r="E885" s="8">
        <v>1310</v>
      </c>
      <c r="F885" s="3" t="s">
        <v>1362</v>
      </c>
      <c r="G885" s="3" t="s">
        <v>1664</v>
      </c>
      <c r="H885" s="3" t="s">
        <v>4367</v>
      </c>
    </row>
    <row r="886" spans="1:8" ht="30" customHeight="1">
      <c r="A886" s="4" t="s">
        <v>2311</v>
      </c>
      <c r="B886" s="4" t="s">
        <v>4368</v>
      </c>
      <c r="C886" s="4" t="s">
        <v>1465</v>
      </c>
      <c r="D886" s="4" t="s">
        <v>4369</v>
      </c>
      <c r="E886" s="9">
        <v>1294</v>
      </c>
      <c r="F886" s="4" t="s">
        <v>1362</v>
      </c>
      <c r="G886" s="4" t="s">
        <v>1664</v>
      </c>
      <c r="H886" s="4" t="s">
        <v>4370</v>
      </c>
    </row>
    <row r="887" spans="1:8" ht="30" customHeight="1">
      <c r="A887" s="3" t="s">
        <v>2311</v>
      </c>
      <c r="B887" s="3" t="s">
        <v>1969</v>
      </c>
      <c r="C887" s="3" t="s">
        <v>1465</v>
      </c>
      <c r="D887" s="3" t="s">
        <v>1970</v>
      </c>
      <c r="E887" s="8">
        <v>1204</v>
      </c>
      <c r="F887" s="3" t="s">
        <v>1380</v>
      </c>
      <c r="G887" s="3" t="s">
        <v>1642</v>
      </c>
      <c r="H887" s="3" t="s">
        <v>4371</v>
      </c>
    </row>
    <row r="888" spans="1:8" ht="30" customHeight="1">
      <c r="A888" s="4" t="s">
        <v>2246</v>
      </c>
      <c r="B888" s="4" t="s">
        <v>4372</v>
      </c>
      <c r="C888" s="4" t="s">
        <v>1465</v>
      </c>
      <c r="D888" s="4" t="s">
        <v>4373</v>
      </c>
      <c r="E888" s="9">
        <v>2871</v>
      </c>
      <c r="F888" s="4" t="s">
        <v>2225</v>
      </c>
      <c r="G888" s="4" t="s">
        <v>1664</v>
      </c>
      <c r="H888" s="4" t="s">
        <v>4374</v>
      </c>
    </row>
    <row r="889" spans="1:8" ht="48" customHeight="1">
      <c r="A889" s="3" t="s">
        <v>2246</v>
      </c>
      <c r="B889" s="3" t="s">
        <v>2248</v>
      </c>
      <c r="C889" s="3" t="s">
        <v>1465</v>
      </c>
      <c r="D889" s="3" t="s">
        <v>2249</v>
      </c>
      <c r="E889" s="8">
        <v>2619</v>
      </c>
      <c r="F889" s="3" t="s">
        <v>1690</v>
      </c>
      <c r="G889" s="3" t="s">
        <v>1642</v>
      </c>
      <c r="H889" s="3" t="s">
        <v>4375</v>
      </c>
    </row>
    <row r="890" spans="1:8" ht="48" customHeight="1">
      <c r="A890" s="4" t="s">
        <v>2246</v>
      </c>
      <c r="B890" s="4" t="s">
        <v>4376</v>
      </c>
      <c r="C890" s="4" t="s">
        <v>1465</v>
      </c>
      <c r="D890" s="4" t="s">
        <v>4377</v>
      </c>
      <c r="E890" s="9">
        <v>2617</v>
      </c>
      <c r="F890" s="4" t="s">
        <v>1690</v>
      </c>
      <c r="G890" s="4" t="s">
        <v>1642</v>
      </c>
      <c r="H890" s="4" t="s">
        <v>4378</v>
      </c>
    </row>
    <row r="891" spans="1:8" ht="30" customHeight="1">
      <c r="A891" s="3" t="s">
        <v>2246</v>
      </c>
      <c r="B891" s="3" t="s">
        <v>4379</v>
      </c>
      <c r="C891" s="3" t="s">
        <v>1465</v>
      </c>
      <c r="D891" s="3" t="s">
        <v>4380</v>
      </c>
      <c r="E891" s="8">
        <v>2077</v>
      </c>
      <c r="F891" s="3" t="s">
        <v>1900</v>
      </c>
      <c r="G891" s="3" t="s">
        <v>1642</v>
      </c>
      <c r="H891" s="3" t="s">
        <v>4381</v>
      </c>
    </row>
    <row r="892" spans="1:8" ht="30" customHeight="1">
      <c r="A892" s="4" t="s">
        <v>2246</v>
      </c>
      <c r="B892" s="4" t="s">
        <v>4382</v>
      </c>
      <c r="C892" s="4" t="s">
        <v>1465</v>
      </c>
      <c r="D892" s="4" t="s">
        <v>4383</v>
      </c>
      <c r="E892" s="9">
        <v>1315</v>
      </c>
      <c r="F892" s="4" t="s">
        <v>1362</v>
      </c>
      <c r="G892" s="4" t="s">
        <v>1664</v>
      </c>
      <c r="H892" s="4" t="s">
        <v>4384</v>
      </c>
    </row>
    <row r="893" spans="1:8" ht="66" customHeight="1">
      <c r="A893" s="3" t="s">
        <v>2246</v>
      </c>
      <c r="B893" s="3" t="s">
        <v>4385</v>
      </c>
      <c r="C893" s="3" t="s">
        <v>1465</v>
      </c>
      <c r="D893" s="3" t="s">
        <v>4386</v>
      </c>
      <c r="E893" s="8">
        <v>1209</v>
      </c>
      <c r="F893" s="3" t="s">
        <v>1376</v>
      </c>
      <c r="G893" s="3" t="s">
        <v>1642</v>
      </c>
      <c r="H893" s="3" t="s">
        <v>4387</v>
      </c>
    </row>
    <row r="894" spans="1:8" ht="48" customHeight="1">
      <c r="A894" s="4" t="s">
        <v>2246</v>
      </c>
      <c r="B894" s="4" t="s">
        <v>1977</v>
      </c>
      <c r="C894" s="4" t="s">
        <v>1465</v>
      </c>
      <c r="D894" s="4" t="s">
        <v>1978</v>
      </c>
      <c r="E894" s="9">
        <v>1204</v>
      </c>
      <c r="F894" s="4" t="s">
        <v>1380</v>
      </c>
      <c r="G894" s="4" t="s">
        <v>1642</v>
      </c>
      <c r="H894" s="4" t="s">
        <v>4388</v>
      </c>
    </row>
    <row r="895" spans="1:8" ht="48" customHeight="1">
      <c r="A895" s="3" t="s">
        <v>2006</v>
      </c>
      <c r="B895" s="3" t="s">
        <v>2008</v>
      </c>
      <c r="C895" s="3" t="s">
        <v>1643</v>
      </c>
      <c r="D895" s="3" t="s">
        <v>2009</v>
      </c>
      <c r="E895" s="8">
        <v>1199</v>
      </c>
      <c r="F895" s="3" t="s">
        <v>1380</v>
      </c>
      <c r="G895" s="3" t="s">
        <v>1642</v>
      </c>
      <c r="H895" s="3" t="s">
        <v>4389</v>
      </c>
    </row>
    <row r="896" spans="1:8" ht="30" customHeight="1">
      <c r="A896" s="4" t="s">
        <v>1989</v>
      </c>
      <c r="B896" s="4" t="s">
        <v>1991</v>
      </c>
      <c r="C896" s="4" t="s">
        <v>1643</v>
      </c>
      <c r="D896" s="4" t="s">
        <v>1992</v>
      </c>
      <c r="E896" s="9">
        <v>1202</v>
      </c>
      <c r="F896" s="4" t="s">
        <v>1380</v>
      </c>
      <c r="G896" s="4" t="s">
        <v>1642</v>
      </c>
      <c r="H896" s="4" t="s">
        <v>4390</v>
      </c>
    </row>
    <row r="897" spans="1:8" ht="48" customHeight="1">
      <c r="A897" s="3" t="s">
        <v>1989</v>
      </c>
      <c r="B897" s="3" t="s">
        <v>1694</v>
      </c>
      <c r="C897" s="3" t="s">
        <v>1465</v>
      </c>
      <c r="D897" s="3" t="s">
        <v>1695</v>
      </c>
      <c r="E897" s="8">
        <v>8545</v>
      </c>
      <c r="F897" s="3" t="s">
        <v>1696</v>
      </c>
      <c r="G897" s="3" t="s">
        <v>1642</v>
      </c>
      <c r="H897" s="3" t="s">
        <v>4391</v>
      </c>
    </row>
    <row r="898" spans="1:8" ht="30" customHeight="1">
      <c r="A898" s="4" t="s">
        <v>1989</v>
      </c>
      <c r="B898" s="4" t="s">
        <v>4392</v>
      </c>
      <c r="C898" s="4" t="s">
        <v>1465</v>
      </c>
      <c r="D898" s="4" t="s">
        <v>4393</v>
      </c>
      <c r="E898" s="9">
        <v>5793</v>
      </c>
      <c r="F898" s="4" t="s">
        <v>4394</v>
      </c>
      <c r="G898" s="4" t="s">
        <v>1664</v>
      </c>
      <c r="H898" s="4" t="s">
        <v>4395</v>
      </c>
    </row>
    <row r="899" spans="1:8" ht="48" customHeight="1">
      <c r="A899" s="3" t="s">
        <v>1989</v>
      </c>
      <c r="B899" s="3" t="s">
        <v>3685</v>
      </c>
      <c r="C899" s="3" t="s">
        <v>1465</v>
      </c>
      <c r="D899" s="3" t="s">
        <v>3686</v>
      </c>
      <c r="E899" s="8">
        <v>2905</v>
      </c>
      <c r="F899" s="3" t="s">
        <v>3687</v>
      </c>
      <c r="G899" s="3" t="s">
        <v>1664</v>
      </c>
      <c r="H899" s="3" t="s">
        <v>4396</v>
      </c>
    </row>
    <row r="900" spans="1:8" ht="48" customHeight="1">
      <c r="A900" s="4" t="s">
        <v>1989</v>
      </c>
      <c r="B900" s="4" t="s">
        <v>4397</v>
      </c>
      <c r="C900" s="4" t="s">
        <v>1465</v>
      </c>
      <c r="D900" s="4" t="s">
        <v>4398</v>
      </c>
      <c r="E900" s="9">
        <v>2807</v>
      </c>
      <c r="F900" s="4" t="s">
        <v>4399</v>
      </c>
      <c r="G900" s="4" t="s">
        <v>1664</v>
      </c>
      <c r="H900" s="4" t="s">
        <v>4400</v>
      </c>
    </row>
    <row r="901" spans="1:8" ht="30" customHeight="1">
      <c r="A901" s="3" t="s">
        <v>1989</v>
      </c>
      <c r="B901" s="3" t="s">
        <v>4401</v>
      </c>
      <c r="C901" s="3" t="s">
        <v>1465</v>
      </c>
      <c r="D901" s="3" t="s">
        <v>4402</v>
      </c>
      <c r="E901" s="8">
        <v>1535</v>
      </c>
      <c r="F901" s="3" t="s">
        <v>1351</v>
      </c>
      <c r="G901" s="3" t="s">
        <v>1664</v>
      </c>
      <c r="H901" s="3" t="s">
        <v>4403</v>
      </c>
    </row>
    <row r="902" spans="1:8" ht="48" customHeight="1">
      <c r="A902" s="4" t="s">
        <v>1989</v>
      </c>
      <c r="B902" s="4" t="s">
        <v>4404</v>
      </c>
      <c r="C902" s="4" t="s">
        <v>1465</v>
      </c>
      <c r="D902" s="4" t="s">
        <v>4405</v>
      </c>
      <c r="E902" s="9">
        <v>1290</v>
      </c>
      <c r="F902" s="4" t="s">
        <v>3001</v>
      </c>
      <c r="G902" s="4" t="s">
        <v>1664</v>
      </c>
      <c r="H902" s="4" t="s">
        <v>4406</v>
      </c>
    </row>
    <row r="903" spans="1:8" ht="48" customHeight="1">
      <c r="A903" s="3" t="s">
        <v>1989</v>
      </c>
      <c r="B903" s="3" t="s">
        <v>4407</v>
      </c>
      <c r="C903" s="3" t="s">
        <v>1465</v>
      </c>
      <c r="D903" s="3" t="s">
        <v>4408</v>
      </c>
      <c r="E903" s="8">
        <v>1290</v>
      </c>
      <c r="F903" s="3" t="s">
        <v>3001</v>
      </c>
      <c r="G903" s="3" t="s">
        <v>1664</v>
      </c>
      <c r="H903" s="3" t="s">
        <v>4409</v>
      </c>
    </row>
    <row r="904" spans="1:8" ht="48" customHeight="1">
      <c r="A904" s="4" t="s">
        <v>1989</v>
      </c>
      <c r="B904" s="4" t="s">
        <v>3704</v>
      </c>
      <c r="C904" s="4" t="s">
        <v>1465</v>
      </c>
      <c r="D904" s="4" t="s">
        <v>3705</v>
      </c>
      <c r="E904" s="9">
        <v>1289</v>
      </c>
      <c r="F904" s="4" t="s">
        <v>3001</v>
      </c>
      <c r="G904" s="4" t="s">
        <v>1664</v>
      </c>
      <c r="H904" s="4" t="s">
        <v>4410</v>
      </c>
    </row>
    <row r="905" spans="1:8" ht="48" customHeight="1">
      <c r="A905" s="3" t="s">
        <v>1989</v>
      </c>
      <c r="B905" s="3" t="s">
        <v>3713</v>
      </c>
      <c r="C905" s="3" t="s">
        <v>1465</v>
      </c>
      <c r="D905" s="3" t="s">
        <v>3714</v>
      </c>
      <c r="E905" s="8">
        <v>1224</v>
      </c>
      <c r="F905" s="3" t="s">
        <v>1370</v>
      </c>
      <c r="G905" s="3" t="s">
        <v>1642</v>
      </c>
      <c r="H905" s="3" t="s">
        <v>4411</v>
      </c>
    </row>
    <row r="906" spans="1:8" ht="48" customHeight="1">
      <c r="A906" s="4" t="s">
        <v>1989</v>
      </c>
      <c r="B906" s="4" t="s">
        <v>4412</v>
      </c>
      <c r="C906" s="4" t="s">
        <v>1465</v>
      </c>
      <c r="D906" s="4" t="s">
        <v>4413</v>
      </c>
      <c r="E906" s="9">
        <v>1181</v>
      </c>
      <c r="F906" s="4" t="s">
        <v>1380</v>
      </c>
      <c r="G906" s="4" t="s">
        <v>1642</v>
      </c>
      <c r="H906" s="4" t="s">
        <v>4414</v>
      </c>
    </row>
    <row r="907" spans="1:8" ht="30" customHeight="1">
      <c r="A907" s="3" t="s">
        <v>1989</v>
      </c>
      <c r="B907" s="3" t="s">
        <v>3747</v>
      </c>
      <c r="C907" s="3" t="s">
        <v>1465</v>
      </c>
      <c r="D907" s="3" t="s">
        <v>3748</v>
      </c>
      <c r="E907" s="8">
        <v>1050</v>
      </c>
      <c r="F907" s="3" t="s">
        <v>1394</v>
      </c>
      <c r="G907" s="3" t="s">
        <v>1664</v>
      </c>
      <c r="H907" s="3" t="s">
        <v>4415</v>
      </c>
    </row>
    <row r="908" spans="1:8" ht="30" customHeight="1">
      <c r="A908" s="4" t="s">
        <v>1989</v>
      </c>
      <c r="B908" s="4" t="s">
        <v>3761</v>
      </c>
      <c r="C908" s="4" t="s">
        <v>1465</v>
      </c>
      <c r="D908" s="4" t="s">
        <v>3762</v>
      </c>
      <c r="E908" s="9">
        <v>1034</v>
      </c>
      <c r="F908" s="4" t="s">
        <v>1394</v>
      </c>
      <c r="G908" s="4" t="s">
        <v>1664</v>
      </c>
      <c r="H908" s="4" t="s">
        <v>4416</v>
      </c>
    </row>
    <row r="909" spans="1:8" ht="30" customHeight="1">
      <c r="A909" s="3" t="s">
        <v>852</v>
      </c>
      <c r="B909" s="3" t="s">
        <v>1941</v>
      </c>
      <c r="C909" s="3" t="s">
        <v>1643</v>
      </c>
      <c r="D909" s="3" t="s">
        <v>1942</v>
      </c>
      <c r="E909" s="8">
        <v>1315</v>
      </c>
      <c r="F909" s="3" t="s">
        <v>1362</v>
      </c>
      <c r="G909" s="3" t="s">
        <v>1664</v>
      </c>
      <c r="H909" s="3" t="s">
        <v>4417</v>
      </c>
    </row>
    <row r="910" spans="1:8" ht="48" customHeight="1">
      <c r="A910" s="4" t="s">
        <v>852</v>
      </c>
      <c r="B910" s="4" t="s">
        <v>4418</v>
      </c>
      <c r="C910" s="4" t="s">
        <v>1465</v>
      </c>
      <c r="D910" s="4" t="s">
        <v>4419</v>
      </c>
      <c r="E910" s="9">
        <v>3679</v>
      </c>
      <c r="F910" s="4" t="s">
        <v>1703</v>
      </c>
      <c r="G910" s="4" t="s">
        <v>1642</v>
      </c>
      <c r="H910" s="4" t="s">
        <v>4420</v>
      </c>
    </row>
    <row r="911" spans="1:8" ht="30" customHeight="1">
      <c r="A911" s="3" t="s">
        <v>852</v>
      </c>
      <c r="B911" s="3" t="s">
        <v>4421</v>
      </c>
      <c r="C911" s="3" t="s">
        <v>1465</v>
      </c>
      <c r="D911" s="3" t="s">
        <v>4422</v>
      </c>
      <c r="E911" s="8">
        <v>2951</v>
      </c>
      <c r="F911" s="3" t="s">
        <v>4423</v>
      </c>
      <c r="G911" s="3" t="s">
        <v>1664</v>
      </c>
      <c r="H911" s="3" t="s">
        <v>4424</v>
      </c>
    </row>
    <row r="912" spans="1:8" ht="48" customHeight="1">
      <c r="A912" s="4" t="s">
        <v>852</v>
      </c>
      <c r="B912" s="4" t="s">
        <v>4425</v>
      </c>
      <c r="C912" s="4" t="s">
        <v>1465</v>
      </c>
      <c r="D912" s="4" t="s">
        <v>4426</v>
      </c>
      <c r="E912" s="9">
        <v>2681</v>
      </c>
      <c r="F912" s="4" t="s">
        <v>1677</v>
      </c>
      <c r="G912" s="4" t="s">
        <v>1664</v>
      </c>
      <c r="H912" s="4" t="s">
        <v>4427</v>
      </c>
    </row>
    <row r="913" spans="1:8" ht="48" customHeight="1">
      <c r="A913" s="3" t="s">
        <v>852</v>
      </c>
      <c r="B913" s="3" t="s">
        <v>4428</v>
      </c>
      <c r="C913" s="3" t="s">
        <v>1465</v>
      </c>
      <c r="D913" s="3" t="s">
        <v>4419</v>
      </c>
      <c r="E913" s="8">
        <v>2439</v>
      </c>
      <c r="F913" s="3" t="s">
        <v>1778</v>
      </c>
      <c r="G913" s="3" t="s">
        <v>1642</v>
      </c>
      <c r="H913" s="3" t="s">
        <v>4420</v>
      </c>
    </row>
    <row r="914" spans="1:8" ht="48" customHeight="1">
      <c r="A914" s="4" t="s">
        <v>852</v>
      </c>
      <c r="B914" s="4" t="s">
        <v>4429</v>
      </c>
      <c r="C914" s="4" t="s">
        <v>1465</v>
      </c>
      <c r="D914" s="4" t="s">
        <v>4430</v>
      </c>
      <c r="E914" s="9">
        <v>1657</v>
      </c>
      <c r="F914" s="4" t="s">
        <v>2209</v>
      </c>
      <c r="G914" s="4" t="s">
        <v>1642</v>
      </c>
      <c r="H914" s="4" t="s">
        <v>4431</v>
      </c>
    </row>
    <row r="915" spans="1:8" ht="48" customHeight="1">
      <c r="A915" s="3" t="s">
        <v>852</v>
      </c>
      <c r="B915" s="3" t="s">
        <v>4432</v>
      </c>
      <c r="C915" s="3" t="s">
        <v>1465</v>
      </c>
      <c r="D915" s="3" t="s">
        <v>4433</v>
      </c>
      <c r="E915" s="8">
        <v>1309</v>
      </c>
      <c r="F915" s="3" t="s">
        <v>2702</v>
      </c>
      <c r="G915" s="3" t="s">
        <v>1664</v>
      </c>
      <c r="H915" s="3" t="s">
        <v>4434</v>
      </c>
    </row>
    <row r="916" spans="1:8" ht="30" customHeight="1">
      <c r="A916" s="4" t="s">
        <v>852</v>
      </c>
      <c r="B916" s="4" t="s">
        <v>4435</v>
      </c>
      <c r="C916" s="4" t="s">
        <v>1465</v>
      </c>
      <c r="D916" s="4" t="s">
        <v>4436</v>
      </c>
      <c r="E916" s="9">
        <v>1287</v>
      </c>
      <c r="F916" s="4" t="s">
        <v>1362</v>
      </c>
      <c r="G916" s="4" t="s">
        <v>1664</v>
      </c>
      <c r="H916" s="4" t="s">
        <v>4437</v>
      </c>
    </row>
    <row r="917" spans="1:8" ht="30" customHeight="1">
      <c r="A917" s="3" t="s">
        <v>1960</v>
      </c>
      <c r="B917" s="3" t="s">
        <v>1962</v>
      </c>
      <c r="C917" s="3" t="s">
        <v>1643</v>
      </c>
      <c r="D917" s="3" t="s">
        <v>1963</v>
      </c>
      <c r="E917" s="8">
        <v>1205</v>
      </c>
      <c r="F917" s="3" t="s">
        <v>1380</v>
      </c>
      <c r="G917" s="3" t="s">
        <v>1642</v>
      </c>
      <c r="H917" s="3" t="s">
        <v>4438</v>
      </c>
    </row>
    <row r="918" spans="1:8" ht="48" customHeight="1">
      <c r="A918" s="4" t="s">
        <v>1960</v>
      </c>
      <c r="B918" s="4" t="s">
        <v>1964</v>
      </c>
      <c r="C918" s="4" t="s">
        <v>1643</v>
      </c>
      <c r="D918" s="4" t="s">
        <v>3944</v>
      </c>
      <c r="E918" s="9">
        <v>1202</v>
      </c>
      <c r="F918" s="4" t="s">
        <v>1380</v>
      </c>
      <c r="G918" s="4" t="s">
        <v>1642</v>
      </c>
      <c r="H918" s="4" t="s">
        <v>4439</v>
      </c>
    </row>
    <row r="919" spans="1:8" ht="30" customHeight="1">
      <c r="A919" s="3" t="s">
        <v>1960</v>
      </c>
      <c r="B919" s="3" t="s">
        <v>4440</v>
      </c>
      <c r="C919" s="3" t="s">
        <v>1465</v>
      </c>
      <c r="D919" s="3" t="s">
        <v>4441</v>
      </c>
      <c r="E919" s="8">
        <v>1305</v>
      </c>
      <c r="F919" s="3" t="s">
        <v>1362</v>
      </c>
      <c r="G919" s="3" t="s">
        <v>1664</v>
      </c>
      <c r="H919" s="3" t="s">
        <v>4442</v>
      </c>
    </row>
    <row r="920" spans="1:8" ht="30" customHeight="1">
      <c r="A920" s="4" t="s">
        <v>1960</v>
      </c>
      <c r="B920" s="4" t="s">
        <v>3946</v>
      </c>
      <c r="C920" s="4" t="s">
        <v>1465</v>
      </c>
      <c r="D920" s="4" t="s">
        <v>3947</v>
      </c>
      <c r="E920" s="9">
        <v>1022</v>
      </c>
      <c r="F920" s="4" t="s">
        <v>1396</v>
      </c>
      <c r="G920" s="4" t="s">
        <v>1642</v>
      </c>
      <c r="H920" s="4" t="s">
        <v>4443</v>
      </c>
    </row>
    <row r="921" spans="1:8" ht="30" customHeight="1">
      <c r="A921" s="3" t="s">
        <v>859</v>
      </c>
      <c r="B921" s="3" t="s">
        <v>1944</v>
      </c>
      <c r="C921" s="3" t="s">
        <v>1643</v>
      </c>
      <c r="D921" s="3" t="s">
        <v>1945</v>
      </c>
      <c r="E921" s="8">
        <v>1311</v>
      </c>
      <c r="F921" s="3" t="s">
        <v>1362</v>
      </c>
      <c r="G921" s="3" t="s">
        <v>1664</v>
      </c>
      <c r="H921" s="3" t="s">
        <v>4444</v>
      </c>
    </row>
    <row r="922" spans="1:8" ht="48" customHeight="1">
      <c r="A922" s="4" t="s">
        <v>1975</v>
      </c>
      <c r="B922" s="4" t="s">
        <v>3927</v>
      </c>
      <c r="C922" s="4" t="s">
        <v>1643</v>
      </c>
      <c r="D922" s="4" t="s">
        <v>3928</v>
      </c>
      <c r="E922" s="9">
        <v>1535</v>
      </c>
      <c r="F922" s="4" t="s">
        <v>1351</v>
      </c>
      <c r="G922" s="4" t="s">
        <v>1664</v>
      </c>
      <c r="H922" s="4" t="s">
        <v>4445</v>
      </c>
    </row>
    <row r="923" spans="1:8" ht="48" customHeight="1">
      <c r="A923" s="3" t="s">
        <v>1975</v>
      </c>
      <c r="B923" s="3" t="s">
        <v>1977</v>
      </c>
      <c r="C923" s="3" t="s">
        <v>1643</v>
      </c>
      <c r="D923" s="3" t="s">
        <v>1978</v>
      </c>
      <c r="E923" s="8">
        <v>1204</v>
      </c>
      <c r="F923" s="3" t="s">
        <v>1380</v>
      </c>
      <c r="G923" s="3" t="s">
        <v>1642</v>
      </c>
      <c r="H923" s="3" t="s">
        <v>4446</v>
      </c>
    </row>
    <row r="924" spans="1:8" ht="30" customHeight="1">
      <c r="A924" s="4" t="s">
        <v>1975</v>
      </c>
      <c r="B924" s="4" t="s">
        <v>2029</v>
      </c>
      <c r="C924" s="4" t="s">
        <v>1643</v>
      </c>
      <c r="D924" s="4" t="s">
        <v>3925</v>
      </c>
      <c r="E924" s="9">
        <v>1202</v>
      </c>
      <c r="F924" s="4" t="s">
        <v>1380</v>
      </c>
      <c r="G924" s="4" t="s">
        <v>1642</v>
      </c>
      <c r="H924" s="4" t="s">
        <v>4447</v>
      </c>
    </row>
    <row r="925" spans="1:8" ht="48" customHeight="1">
      <c r="A925" s="3" t="s">
        <v>1975</v>
      </c>
      <c r="B925" s="3" t="s">
        <v>4448</v>
      </c>
      <c r="C925" s="3" t="s">
        <v>1465</v>
      </c>
      <c r="D925" s="3" t="s">
        <v>4449</v>
      </c>
      <c r="E925" s="8">
        <v>3896</v>
      </c>
      <c r="F925" s="3" t="s">
        <v>2855</v>
      </c>
      <c r="G925" s="3" t="s">
        <v>1642</v>
      </c>
      <c r="H925" s="3" t="s">
        <v>4450</v>
      </c>
    </row>
    <row r="926" spans="1:8" ht="30" customHeight="1">
      <c r="A926" s="4" t="s">
        <v>1975</v>
      </c>
      <c r="B926" s="4" t="s">
        <v>4451</v>
      </c>
      <c r="C926" s="4" t="s">
        <v>1465</v>
      </c>
      <c r="D926" s="4" t="s">
        <v>4452</v>
      </c>
      <c r="E926" s="9">
        <v>2872</v>
      </c>
      <c r="F926" s="4" t="s">
        <v>2225</v>
      </c>
      <c r="G926" s="4" t="s">
        <v>1664</v>
      </c>
      <c r="H926" s="4" t="s">
        <v>4453</v>
      </c>
    </row>
    <row r="927" spans="1:8" ht="48" customHeight="1">
      <c r="A927" s="3" t="s">
        <v>1980</v>
      </c>
      <c r="B927" s="3" t="s">
        <v>1984</v>
      </c>
      <c r="C927" s="3" t="s">
        <v>1643</v>
      </c>
      <c r="D927" s="3" t="s">
        <v>4454</v>
      </c>
      <c r="E927" s="8">
        <v>1535</v>
      </c>
      <c r="F927" s="3" t="s">
        <v>1351</v>
      </c>
      <c r="G927" s="3" t="s">
        <v>1664</v>
      </c>
      <c r="H927" s="3" t="s">
        <v>4455</v>
      </c>
    </row>
    <row r="928" spans="1:8" ht="48" customHeight="1">
      <c r="A928" s="4" t="s">
        <v>1980</v>
      </c>
      <c r="B928" s="4" t="s">
        <v>1982</v>
      </c>
      <c r="C928" s="4" t="s">
        <v>1643</v>
      </c>
      <c r="D928" s="4" t="s">
        <v>1983</v>
      </c>
      <c r="E928" s="9">
        <v>1203</v>
      </c>
      <c r="F928" s="4" t="s">
        <v>1380</v>
      </c>
      <c r="G928" s="4" t="s">
        <v>1642</v>
      </c>
      <c r="H928" s="4" t="s">
        <v>4456</v>
      </c>
    </row>
    <row r="929" spans="1:8" ht="30" customHeight="1">
      <c r="A929" s="3" t="s">
        <v>1980</v>
      </c>
      <c r="B929" s="3" t="s">
        <v>4457</v>
      </c>
      <c r="C929" s="3" t="s">
        <v>1465</v>
      </c>
      <c r="D929" s="3" t="s">
        <v>4458</v>
      </c>
      <c r="E929" s="8">
        <v>2838</v>
      </c>
      <c r="F929" s="3" t="s">
        <v>2225</v>
      </c>
      <c r="G929" s="3" t="s">
        <v>1664</v>
      </c>
      <c r="H929" s="3" t="s">
        <v>4459</v>
      </c>
    </row>
    <row r="930" spans="1:8" ht="30" customHeight="1">
      <c r="A930" s="4" t="s">
        <v>2340</v>
      </c>
      <c r="B930" s="4" t="s">
        <v>2342</v>
      </c>
      <c r="C930" s="4" t="s">
        <v>1465</v>
      </c>
      <c r="D930" s="4" t="s">
        <v>2343</v>
      </c>
      <c r="E930" s="9">
        <v>1505</v>
      </c>
      <c r="F930" s="4" t="s">
        <v>1354</v>
      </c>
      <c r="G930" s="4" t="s">
        <v>1664</v>
      </c>
      <c r="H930" s="4" t="s">
        <v>4460</v>
      </c>
    </row>
    <row r="931" spans="1:8" ht="48" customHeight="1">
      <c r="A931" s="3" t="s">
        <v>2448</v>
      </c>
      <c r="B931" s="3" t="s">
        <v>2450</v>
      </c>
      <c r="C931" s="3" t="s">
        <v>1465</v>
      </c>
      <c r="D931" s="3" t="s">
        <v>2451</v>
      </c>
      <c r="E931" s="8">
        <v>1208</v>
      </c>
      <c r="F931" s="3" t="s">
        <v>1376</v>
      </c>
      <c r="G931" s="3" t="s">
        <v>1642</v>
      </c>
      <c r="H931" s="3" t="s">
        <v>4461</v>
      </c>
    </row>
    <row r="932" spans="1:8" ht="30" customHeight="1">
      <c r="A932" s="4" t="s">
        <v>2448</v>
      </c>
      <c r="B932" s="4" t="s">
        <v>1991</v>
      </c>
      <c r="C932" s="4" t="s">
        <v>1465</v>
      </c>
      <c r="D932" s="4" t="s">
        <v>1992</v>
      </c>
      <c r="E932" s="9">
        <v>1202</v>
      </c>
      <c r="F932" s="4" t="s">
        <v>1380</v>
      </c>
      <c r="G932" s="4" t="s">
        <v>1642</v>
      </c>
      <c r="H932" s="4" t="s">
        <v>4462</v>
      </c>
    </row>
    <row r="933" spans="1:8" ht="30" customHeight="1">
      <c r="A933" s="3" t="s">
        <v>1985</v>
      </c>
      <c r="B933" s="3" t="s">
        <v>1987</v>
      </c>
      <c r="C933" s="3" t="s">
        <v>1643</v>
      </c>
      <c r="D933" s="3" t="s">
        <v>1988</v>
      </c>
      <c r="E933" s="8">
        <v>1203</v>
      </c>
      <c r="F933" s="3" t="s">
        <v>1380</v>
      </c>
      <c r="G933" s="3" t="s">
        <v>1642</v>
      </c>
      <c r="H933" s="3" t="s">
        <v>4463</v>
      </c>
    </row>
    <row r="934" spans="1:8" ht="30" customHeight="1">
      <c r="A934" s="4" t="s">
        <v>1985</v>
      </c>
      <c r="B934" s="4" t="s">
        <v>4464</v>
      </c>
      <c r="C934" s="4" t="s">
        <v>1465</v>
      </c>
      <c r="D934" s="4" t="s">
        <v>4465</v>
      </c>
      <c r="E934" s="9">
        <v>1505</v>
      </c>
      <c r="F934" s="4" t="s">
        <v>1354</v>
      </c>
      <c r="G934" s="4" t="s">
        <v>1664</v>
      </c>
      <c r="H934" s="4" t="s">
        <v>4466</v>
      </c>
    </row>
    <row r="935" spans="1:8" ht="48" customHeight="1">
      <c r="A935" s="3" t="s">
        <v>2210</v>
      </c>
      <c r="B935" s="3" t="s">
        <v>2212</v>
      </c>
      <c r="C935" s="3" t="s">
        <v>1465</v>
      </c>
      <c r="D935" s="3" t="s">
        <v>2213</v>
      </c>
      <c r="E935" s="8">
        <v>3482</v>
      </c>
      <c r="F935" s="3" t="s">
        <v>2214</v>
      </c>
      <c r="G935" s="3" t="s">
        <v>1642</v>
      </c>
      <c r="H935" s="3" t="s">
        <v>4467</v>
      </c>
    </row>
    <row r="936" spans="1:8" ht="30" customHeight="1">
      <c r="A936" s="4" t="s">
        <v>2210</v>
      </c>
      <c r="B936" s="4" t="s">
        <v>3603</v>
      </c>
      <c r="C936" s="4" t="s">
        <v>1465</v>
      </c>
      <c r="D936" s="4" t="s">
        <v>3604</v>
      </c>
      <c r="E936" s="9">
        <v>3477</v>
      </c>
      <c r="F936" s="4" t="s">
        <v>2214</v>
      </c>
      <c r="G936" s="4" t="s">
        <v>1642</v>
      </c>
      <c r="H936" s="4" t="s">
        <v>4468</v>
      </c>
    </row>
    <row r="937" spans="1:8" ht="30" customHeight="1">
      <c r="A937" s="3" t="s">
        <v>2210</v>
      </c>
      <c r="B937" s="3" t="s">
        <v>2032</v>
      </c>
      <c r="C937" s="3" t="s">
        <v>1465</v>
      </c>
      <c r="D937" s="3" t="s">
        <v>2033</v>
      </c>
      <c r="E937" s="8">
        <v>1203</v>
      </c>
      <c r="F937" s="3" t="s">
        <v>1380</v>
      </c>
      <c r="G937" s="3" t="s">
        <v>1642</v>
      </c>
      <c r="H937" s="3" t="s">
        <v>4469</v>
      </c>
    </row>
    <row r="938" spans="1:8" ht="84" customHeight="1">
      <c r="A938" s="4" t="s">
        <v>597</v>
      </c>
      <c r="B938" s="4" t="s">
        <v>598</v>
      </c>
      <c r="C938" s="4" t="s">
        <v>1643</v>
      </c>
      <c r="D938" s="4" t="s">
        <v>1839</v>
      </c>
      <c r="E938" s="9">
        <v>23056</v>
      </c>
      <c r="F938" s="4" t="s">
        <v>1641</v>
      </c>
      <c r="G938" s="4" t="s">
        <v>1642</v>
      </c>
      <c r="H938" s="4" t="s">
        <v>4470</v>
      </c>
    </row>
    <row r="939" spans="1:8" ht="48" customHeight="1">
      <c r="A939" s="3" t="s">
        <v>597</v>
      </c>
      <c r="B939" s="3" t="s">
        <v>4471</v>
      </c>
      <c r="C939" s="3" t="s">
        <v>1643</v>
      </c>
      <c r="D939" s="3" t="s">
        <v>4472</v>
      </c>
      <c r="E939" s="8">
        <v>3836</v>
      </c>
      <c r="F939" s="3" t="s">
        <v>1668</v>
      </c>
      <c r="G939" s="3" t="s">
        <v>1642</v>
      </c>
      <c r="H939" s="3" t="s">
        <v>4473</v>
      </c>
    </row>
    <row r="940" spans="1:8" ht="48" customHeight="1">
      <c r="A940" s="4" t="s">
        <v>597</v>
      </c>
      <c r="B940" s="4" t="s">
        <v>4474</v>
      </c>
      <c r="C940" s="4" t="s">
        <v>1643</v>
      </c>
      <c r="D940" s="4" t="s">
        <v>4475</v>
      </c>
      <c r="E940" s="9">
        <v>3828</v>
      </c>
      <c r="F940" s="4" t="s">
        <v>1668</v>
      </c>
      <c r="G940" s="4" t="s">
        <v>1642</v>
      </c>
      <c r="H940" s="4" t="s">
        <v>4476</v>
      </c>
    </row>
    <row r="941" spans="1:8" ht="30" customHeight="1">
      <c r="A941" s="3" t="s">
        <v>597</v>
      </c>
      <c r="B941" s="3" t="s">
        <v>4477</v>
      </c>
      <c r="C941" s="3" t="s">
        <v>1465</v>
      </c>
      <c r="D941" s="3" t="s">
        <v>4478</v>
      </c>
      <c r="E941" s="8">
        <v>5025</v>
      </c>
      <c r="F941" s="3" t="s">
        <v>1746</v>
      </c>
      <c r="G941" s="3" t="s">
        <v>1642</v>
      </c>
      <c r="H941" s="3" t="s">
        <v>4479</v>
      </c>
    </row>
    <row r="942" spans="1:8" ht="30" customHeight="1">
      <c r="A942" s="4" t="s">
        <v>597</v>
      </c>
      <c r="B942" s="4" t="s">
        <v>4480</v>
      </c>
      <c r="C942" s="4" t="s">
        <v>1465</v>
      </c>
      <c r="D942" s="4" t="s">
        <v>4481</v>
      </c>
      <c r="E942" s="9">
        <v>5012</v>
      </c>
      <c r="F942" s="4" t="s">
        <v>1746</v>
      </c>
      <c r="G942" s="4" t="s">
        <v>1642</v>
      </c>
      <c r="H942" s="4" t="s">
        <v>4482</v>
      </c>
    </row>
    <row r="943" spans="1:8" ht="30" customHeight="1">
      <c r="A943" s="3" t="s">
        <v>597</v>
      </c>
      <c r="B943" s="3" t="s">
        <v>4483</v>
      </c>
      <c r="C943" s="3" t="s">
        <v>1465</v>
      </c>
      <c r="D943" s="3" t="s">
        <v>4484</v>
      </c>
      <c r="E943" s="8">
        <v>5005</v>
      </c>
      <c r="F943" s="3" t="s">
        <v>1746</v>
      </c>
      <c r="G943" s="3" t="s">
        <v>1642</v>
      </c>
      <c r="H943" s="3" t="s">
        <v>4485</v>
      </c>
    </row>
    <row r="944" spans="1:8" ht="30" customHeight="1">
      <c r="A944" s="4" t="s">
        <v>597</v>
      </c>
      <c r="B944" s="4" t="s">
        <v>4486</v>
      </c>
      <c r="C944" s="4" t="s">
        <v>1465</v>
      </c>
      <c r="D944" s="4" t="s">
        <v>4487</v>
      </c>
      <c r="E944" s="9">
        <v>5003</v>
      </c>
      <c r="F944" s="4" t="s">
        <v>1746</v>
      </c>
      <c r="G944" s="4" t="s">
        <v>1642</v>
      </c>
      <c r="H944" s="4" t="s">
        <v>4488</v>
      </c>
    </row>
    <row r="945" spans="1:8" ht="30" customHeight="1">
      <c r="A945" s="3" t="s">
        <v>597</v>
      </c>
      <c r="B945" s="3" t="s">
        <v>1750</v>
      </c>
      <c r="C945" s="3" t="s">
        <v>1465</v>
      </c>
      <c r="D945" s="3" t="s">
        <v>1751</v>
      </c>
      <c r="E945" s="8">
        <v>4994</v>
      </c>
      <c r="F945" s="3" t="s">
        <v>1746</v>
      </c>
      <c r="G945" s="3" t="s">
        <v>1642</v>
      </c>
      <c r="H945" s="3" t="s">
        <v>4489</v>
      </c>
    </row>
    <row r="946" spans="1:8" ht="30" customHeight="1">
      <c r="A946" s="4" t="s">
        <v>597</v>
      </c>
      <c r="B946" s="4" t="s">
        <v>4490</v>
      </c>
      <c r="C946" s="4" t="s">
        <v>1465</v>
      </c>
      <c r="D946" s="4" t="s">
        <v>4491</v>
      </c>
      <c r="E946" s="9">
        <v>4982</v>
      </c>
      <c r="F946" s="4" t="s">
        <v>1746</v>
      </c>
      <c r="G946" s="4" t="s">
        <v>1642</v>
      </c>
      <c r="H946" s="4" t="s">
        <v>4492</v>
      </c>
    </row>
    <row r="947" spans="1:8" ht="30" customHeight="1">
      <c r="A947" s="3" t="s">
        <v>597</v>
      </c>
      <c r="B947" s="3" t="s">
        <v>4493</v>
      </c>
      <c r="C947" s="3" t="s">
        <v>1465</v>
      </c>
      <c r="D947" s="3" t="s">
        <v>4494</v>
      </c>
      <c r="E947" s="8">
        <v>4978</v>
      </c>
      <c r="F947" s="3" t="s">
        <v>1746</v>
      </c>
      <c r="G947" s="3" t="s">
        <v>1642</v>
      </c>
      <c r="H947" s="3" t="s">
        <v>4495</v>
      </c>
    </row>
    <row r="948" spans="1:8" ht="30" customHeight="1">
      <c r="A948" s="4" t="s">
        <v>597</v>
      </c>
      <c r="B948" s="4" t="s">
        <v>4496</v>
      </c>
      <c r="C948" s="4" t="s">
        <v>1465</v>
      </c>
      <c r="D948" s="4" t="s">
        <v>4497</v>
      </c>
      <c r="E948" s="9">
        <v>4971</v>
      </c>
      <c r="F948" s="4" t="s">
        <v>1746</v>
      </c>
      <c r="G948" s="4" t="s">
        <v>1642</v>
      </c>
      <c r="H948" s="4" t="s">
        <v>4498</v>
      </c>
    </row>
    <row r="949" spans="1:8" ht="30" customHeight="1">
      <c r="A949" s="3" t="s">
        <v>597</v>
      </c>
      <c r="B949" s="3" t="s">
        <v>1744</v>
      </c>
      <c r="C949" s="3" t="s">
        <v>1465</v>
      </c>
      <c r="D949" s="3" t="s">
        <v>1745</v>
      </c>
      <c r="E949" s="8">
        <v>4967</v>
      </c>
      <c r="F949" s="3" t="s">
        <v>1746</v>
      </c>
      <c r="G949" s="3" t="s">
        <v>1642</v>
      </c>
      <c r="H949" s="3" t="s">
        <v>4499</v>
      </c>
    </row>
    <row r="950" spans="1:8" ht="30" customHeight="1">
      <c r="A950" s="4" t="s">
        <v>597</v>
      </c>
      <c r="B950" s="4" t="s">
        <v>4500</v>
      </c>
      <c r="C950" s="4" t="s">
        <v>1465</v>
      </c>
      <c r="D950" s="4" t="s">
        <v>4501</v>
      </c>
      <c r="E950" s="9">
        <v>4967</v>
      </c>
      <c r="F950" s="4" t="s">
        <v>1746</v>
      </c>
      <c r="G950" s="4" t="s">
        <v>1642</v>
      </c>
      <c r="H950" s="4" t="s">
        <v>4502</v>
      </c>
    </row>
    <row r="951" spans="1:8" ht="48" customHeight="1">
      <c r="A951" s="3" t="s">
        <v>597</v>
      </c>
      <c r="B951" s="3" t="s">
        <v>2203</v>
      </c>
      <c r="C951" s="3" t="s">
        <v>1465</v>
      </c>
      <c r="D951" s="3" t="s">
        <v>2204</v>
      </c>
      <c r="E951" s="8">
        <v>3821</v>
      </c>
      <c r="F951" s="3" t="s">
        <v>1668</v>
      </c>
      <c r="G951" s="3" t="s">
        <v>1642</v>
      </c>
      <c r="H951" s="3" t="s">
        <v>4503</v>
      </c>
    </row>
    <row r="952" spans="1:8" ht="48" customHeight="1">
      <c r="A952" s="4" t="s">
        <v>597</v>
      </c>
      <c r="B952" s="4" t="s">
        <v>4504</v>
      </c>
      <c r="C952" s="4" t="s">
        <v>1465</v>
      </c>
      <c r="D952" s="4" t="s">
        <v>4505</v>
      </c>
      <c r="E952" s="9">
        <v>3812</v>
      </c>
      <c r="F952" s="4" t="s">
        <v>1668</v>
      </c>
      <c r="G952" s="4" t="s">
        <v>1642</v>
      </c>
      <c r="H952" s="4" t="s">
        <v>4506</v>
      </c>
    </row>
    <row r="953" spans="1:8" ht="48" customHeight="1">
      <c r="A953" s="3" t="s">
        <v>597</v>
      </c>
      <c r="B953" s="3" t="s">
        <v>4507</v>
      </c>
      <c r="C953" s="3" t="s">
        <v>1465</v>
      </c>
      <c r="D953" s="3" t="s">
        <v>4508</v>
      </c>
      <c r="E953" s="8">
        <v>3799</v>
      </c>
      <c r="F953" s="3" t="s">
        <v>1668</v>
      </c>
      <c r="G953" s="3" t="s">
        <v>1642</v>
      </c>
      <c r="H953" s="3" t="s">
        <v>4509</v>
      </c>
    </row>
    <row r="954" spans="1:8" ht="30" customHeight="1">
      <c r="A954" s="4" t="s">
        <v>597</v>
      </c>
      <c r="B954" s="4" t="s">
        <v>4510</v>
      </c>
      <c r="C954" s="4" t="s">
        <v>1465</v>
      </c>
      <c r="D954" s="4" t="s">
        <v>4511</v>
      </c>
      <c r="E954" s="9">
        <v>3400</v>
      </c>
      <c r="F954" s="4" t="s">
        <v>4512</v>
      </c>
      <c r="G954" s="4" t="s">
        <v>1642</v>
      </c>
      <c r="H954" s="4" t="s">
        <v>4513</v>
      </c>
    </row>
    <row r="955" spans="1:8" ht="30" customHeight="1">
      <c r="A955" s="3" t="s">
        <v>597</v>
      </c>
      <c r="B955" s="3" t="s">
        <v>4514</v>
      </c>
      <c r="C955" s="3" t="s">
        <v>1465</v>
      </c>
      <c r="D955" s="3" t="s">
        <v>4515</v>
      </c>
      <c r="E955" s="8">
        <v>2786</v>
      </c>
      <c r="F955" s="3" t="s">
        <v>4516</v>
      </c>
      <c r="G955" s="3" t="s">
        <v>1664</v>
      </c>
      <c r="H955" s="3" t="s">
        <v>4517</v>
      </c>
    </row>
    <row r="956" spans="1:8" ht="48" customHeight="1">
      <c r="A956" s="4" t="s">
        <v>597</v>
      </c>
      <c r="B956" s="4" t="s">
        <v>4518</v>
      </c>
      <c r="C956" s="4" t="s">
        <v>1465</v>
      </c>
      <c r="D956" s="4" t="s">
        <v>4519</v>
      </c>
      <c r="E956" s="9">
        <v>2597</v>
      </c>
      <c r="F956" s="4" t="s">
        <v>4520</v>
      </c>
      <c r="G956" s="4" t="s">
        <v>1664</v>
      </c>
      <c r="H956" s="4" t="s">
        <v>4521</v>
      </c>
    </row>
    <row r="957" spans="1:8" ht="48" customHeight="1">
      <c r="A957" s="3" t="s">
        <v>597</v>
      </c>
      <c r="B957" s="3" t="s">
        <v>4522</v>
      </c>
      <c r="C957" s="3" t="s">
        <v>1465</v>
      </c>
      <c r="D957" s="3" t="s">
        <v>4523</v>
      </c>
      <c r="E957" s="8">
        <v>2586</v>
      </c>
      <c r="F957" s="3" t="s">
        <v>4520</v>
      </c>
      <c r="G957" s="3" t="s">
        <v>1664</v>
      </c>
      <c r="H957" s="3" t="s">
        <v>4524</v>
      </c>
    </row>
    <row r="958" spans="1:8" ht="48" customHeight="1">
      <c r="A958" s="4" t="s">
        <v>597</v>
      </c>
      <c r="B958" s="4" t="s">
        <v>4525</v>
      </c>
      <c r="C958" s="4" t="s">
        <v>1465</v>
      </c>
      <c r="D958" s="4" t="s">
        <v>4526</v>
      </c>
      <c r="E958" s="9">
        <v>2533</v>
      </c>
      <c r="F958" s="4" t="s">
        <v>1684</v>
      </c>
      <c r="G958" s="4" t="s">
        <v>1642</v>
      </c>
      <c r="H958" s="4" t="s">
        <v>4527</v>
      </c>
    </row>
    <row r="959" spans="1:8" ht="48" customHeight="1">
      <c r="A959" s="3" t="s">
        <v>597</v>
      </c>
      <c r="B959" s="3" t="s">
        <v>4528</v>
      </c>
      <c r="C959" s="3" t="s">
        <v>1465</v>
      </c>
      <c r="D959" s="3" t="s">
        <v>4529</v>
      </c>
      <c r="E959" s="8">
        <v>2533</v>
      </c>
      <c r="F959" s="3" t="s">
        <v>1684</v>
      </c>
      <c r="G959" s="3" t="s">
        <v>1642</v>
      </c>
      <c r="H959" s="3" t="s">
        <v>4530</v>
      </c>
    </row>
    <row r="960" spans="1:8" ht="48" customHeight="1">
      <c r="A960" s="4" t="s">
        <v>597</v>
      </c>
      <c r="B960" s="4" t="s">
        <v>4531</v>
      </c>
      <c r="C960" s="4" t="s">
        <v>1465</v>
      </c>
      <c r="D960" s="4" t="s">
        <v>4532</v>
      </c>
      <c r="E960" s="9">
        <v>1631</v>
      </c>
      <c r="F960" s="4" t="s">
        <v>4533</v>
      </c>
      <c r="G960" s="4" t="s">
        <v>1642</v>
      </c>
      <c r="H960" s="4" t="s">
        <v>4534</v>
      </c>
    </row>
    <row r="961" spans="1:8" ht="48" customHeight="1">
      <c r="A961" s="3" t="s">
        <v>597</v>
      </c>
      <c r="B961" s="3" t="s">
        <v>4535</v>
      </c>
      <c r="C961" s="3" t="s">
        <v>1465</v>
      </c>
      <c r="D961" s="3" t="s">
        <v>4536</v>
      </c>
      <c r="E961" s="8">
        <v>1631</v>
      </c>
      <c r="F961" s="3" t="s">
        <v>4533</v>
      </c>
      <c r="G961" s="3" t="s">
        <v>1642</v>
      </c>
      <c r="H961" s="3" t="s">
        <v>4537</v>
      </c>
    </row>
    <row r="962" spans="1:8" ht="48" customHeight="1">
      <c r="A962" s="4" t="s">
        <v>597</v>
      </c>
      <c r="B962" s="4" t="s">
        <v>4538</v>
      </c>
      <c r="C962" s="4" t="s">
        <v>1465</v>
      </c>
      <c r="D962" s="4" t="s">
        <v>4539</v>
      </c>
      <c r="E962" s="9">
        <v>1630</v>
      </c>
      <c r="F962" s="4" t="s">
        <v>4533</v>
      </c>
      <c r="G962" s="4" t="s">
        <v>1642</v>
      </c>
      <c r="H962" s="4" t="s">
        <v>4540</v>
      </c>
    </row>
    <row r="963" spans="1:8" ht="48" customHeight="1">
      <c r="A963" s="3" t="s">
        <v>597</v>
      </c>
      <c r="B963" s="3" t="s">
        <v>4541</v>
      </c>
      <c r="C963" s="3" t="s">
        <v>1465</v>
      </c>
      <c r="D963" s="3" t="s">
        <v>4542</v>
      </c>
      <c r="E963" s="8">
        <v>1628</v>
      </c>
      <c r="F963" s="3" t="s">
        <v>4533</v>
      </c>
      <c r="G963" s="3" t="s">
        <v>1642</v>
      </c>
      <c r="H963" s="3" t="s">
        <v>4543</v>
      </c>
    </row>
    <row r="964" spans="1:8" ht="48" customHeight="1">
      <c r="A964" s="4" t="s">
        <v>597</v>
      </c>
      <c r="B964" s="4" t="s">
        <v>4544</v>
      </c>
      <c r="C964" s="4" t="s">
        <v>1465</v>
      </c>
      <c r="D964" s="4" t="s">
        <v>4545</v>
      </c>
      <c r="E964" s="9">
        <v>1626</v>
      </c>
      <c r="F964" s="4" t="s">
        <v>4533</v>
      </c>
      <c r="G964" s="4" t="s">
        <v>1642</v>
      </c>
      <c r="H964" s="4" t="s">
        <v>4546</v>
      </c>
    </row>
    <row r="965" spans="1:8" ht="48" customHeight="1">
      <c r="A965" s="3" t="s">
        <v>597</v>
      </c>
      <c r="B965" s="3" t="s">
        <v>4547</v>
      </c>
      <c r="C965" s="3" t="s">
        <v>1465</v>
      </c>
      <c r="D965" s="3" t="s">
        <v>4548</v>
      </c>
      <c r="E965" s="8">
        <v>1624</v>
      </c>
      <c r="F965" s="3" t="s">
        <v>4533</v>
      </c>
      <c r="G965" s="3" t="s">
        <v>1642</v>
      </c>
      <c r="H965" s="3" t="s">
        <v>4549</v>
      </c>
    </row>
    <row r="966" spans="1:8" ht="48" customHeight="1">
      <c r="A966" s="4" t="s">
        <v>597</v>
      </c>
      <c r="B966" s="4" t="s">
        <v>4550</v>
      </c>
      <c r="C966" s="4" t="s">
        <v>1465</v>
      </c>
      <c r="D966" s="4" t="s">
        <v>4551</v>
      </c>
      <c r="E966" s="9">
        <v>1623</v>
      </c>
      <c r="F966" s="4" t="s">
        <v>4533</v>
      </c>
      <c r="G966" s="4" t="s">
        <v>1642</v>
      </c>
      <c r="H966" s="4" t="s">
        <v>4552</v>
      </c>
    </row>
    <row r="967" spans="1:8" ht="48" customHeight="1">
      <c r="A967" s="3" t="s">
        <v>597</v>
      </c>
      <c r="B967" s="3" t="s">
        <v>4553</v>
      </c>
      <c r="C967" s="3" t="s">
        <v>1465</v>
      </c>
      <c r="D967" s="3" t="s">
        <v>4554</v>
      </c>
      <c r="E967" s="8">
        <v>1621</v>
      </c>
      <c r="F967" s="3" t="s">
        <v>4533</v>
      </c>
      <c r="G967" s="3" t="s">
        <v>1642</v>
      </c>
      <c r="H967" s="3" t="s">
        <v>4555</v>
      </c>
    </row>
    <row r="968" spans="1:8" ht="48" customHeight="1">
      <c r="A968" s="4" t="s">
        <v>597</v>
      </c>
      <c r="B968" s="4" t="s">
        <v>4556</v>
      </c>
      <c r="C968" s="4" t="s">
        <v>1465</v>
      </c>
      <c r="D968" s="4" t="s">
        <v>4557</v>
      </c>
      <c r="E968" s="9">
        <v>1621</v>
      </c>
      <c r="F968" s="4" t="s">
        <v>4533</v>
      </c>
      <c r="G968" s="4" t="s">
        <v>1642</v>
      </c>
      <c r="H968" s="4" t="s">
        <v>4558</v>
      </c>
    </row>
    <row r="969" spans="1:8" ht="48" customHeight="1">
      <c r="A969" s="3" t="s">
        <v>597</v>
      </c>
      <c r="B969" s="3" t="s">
        <v>4559</v>
      </c>
      <c r="C969" s="3" t="s">
        <v>1465</v>
      </c>
      <c r="D969" s="3" t="s">
        <v>4560</v>
      </c>
      <c r="E969" s="8">
        <v>1621</v>
      </c>
      <c r="F969" s="3" t="s">
        <v>4533</v>
      </c>
      <c r="G969" s="3" t="s">
        <v>1642</v>
      </c>
      <c r="H969" s="3" t="s">
        <v>4561</v>
      </c>
    </row>
    <row r="970" spans="1:8" ht="48" customHeight="1">
      <c r="A970" s="4" t="s">
        <v>597</v>
      </c>
      <c r="B970" s="4" t="s">
        <v>4562</v>
      </c>
      <c r="C970" s="4" t="s">
        <v>1465</v>
      </c>
      <c r="D970" s="4" t="s">
        <v>4563</v>
      </c>
      <c r="E970" s="9">
        <v>1620</v>
      </c>
      <c r="F970" s="4" t="s">
        <v>4533</v>
      </c>
      <c r="G970" s="4" t="s">
        <v>1642</v>
      </c>
      <c r="H970" s="4" t="s">
        <v>4564</v>
      </c>
    </row>
    <row r="971" spans="1:8" ht="48" customHeight="1">
      <c r="A971" s="3" t="s">
        <v>597</v>
      </c>
      <c r="B971" s="3" t="s">
        <v>4565</v>
      </c>
      <c r="C971" s="3" t="s">
        <v>1465</v>
      </c>
      <c r="D971" s="3" t="s">
        <v>4566</v>
      </c>
      <c r="E971" s="8">
        <v>1619</v>
      </c>
      <c r="F971" s="3" t="s">
        <v>4533</v>
      </c>
      <c r="G971" s="3" t="s">
        <v>1642</v>
      </c>
      <c r="H971" s="3" t="s">
        <v>4567</v>
      </c>
    </row>
    <row r="972" spans="1:8" ht="48" customHeight="1">
      <c r="A972" s="4" t="s">
        <v>597</v>
      </c>
      <c r="B972" s="4" t="s">
        <v>4568</v>
      </c>
      <c r="C972" s="4" t="s">
        <v>1465</v>
      </c>
      <c r="D972" s="4" t="s">
        <v>4569</v>
      </c>
      <c r="E972" s="9">
        <v>1619</v>
      </c>
      <c r="F972" s="4" t="s">
        <v>4533</v>
      </c>
      <c r="G972" s="4" t="s">
        <v>1642</v>
      </c>
      <c r="H972" s="4" t="s">
        <v>4570</v>
      </c>
    </row>
    <row r="973" spans="1:8" ht="48" customHeight="1">
      <c r="A973" s="3" t="s">
        <v>597</v>
      </c>
      <c r="B973" s="3" t="s">
        <v>4571</v>
      </c>
      <c r="C973" s="3" t="s">
        <v>1465</v>
      </c>
      <c r="D973" s="3" t="s">
        <v>4572</v>
      </c>
      <c r="E973" s="8">
        <v>1619</v>
      </c>
      <c r="F973" s="3" t="s">
        <v>4533</v>
      </c>
      <c r="G973" s="3" t="s">
        <v>1642</v>
      </c>
      <c r="H973" s="3" t="s">
        <v>4573</v>
      </c>
    </row>
    <row r="974" spans="1:8" ht="48" customHeight="1">
      <c r="A974" s="4" t="s">
        <v>597</v>
      </c>
      <c r="B974" s="4" t="s">
        <v>4574</v>
      </c>
      <c r="C974" s="4" t="s">
        <v>1465</v>
      </c>
      <c r="D974" s="4" t="s">
        <v>4575</v>
      </c>
      <c r="E974" s="9">
        <v>1615</v>
      </c>
      <c r="F974" s="4" t="s">
        <v>4533</v>
      </c>
      <c r="G974" s="4" t="s">
        <v>1642</v>
      </c>
      <c r="H974" s="4" t="s">
        <v>4576</v>
      </c>
    </row>
    <row r="975" spans="1:8" ht="48" customHeight="1">
      <c r="A975" s="3" t="s">
        <v>597</v>
      </c>
      <c r="B975" s="3" t="s">
        <v>4577</v>
      </c>
      <c r="C975" s="3" t="s">
        <v>1465</v>
      </c>
      <c r="D975" s="3" t="s">
        <v>4578</v>
      </c>
      <c r="E975" s="8">
        <v>1615</v>
      </c>
      <c r="F975" s="3" t="s">
        <v>4533</v>
      </c>
      <c r="G975" s="3" t="s">
        <v>1642</v>
      </c>
      <c r="H975" s="3" t="s">
        <v>4579</v>
      </c>
    </row>
    <row r="976" spans="1:8" ht="48" customHeight="1">
      <c r="A976" s="4" t="s">
        <v>597</v>
      </c>
      <c r="B976" s="4" t="s">
        <v>4580</v>
      </c>
      <c r="C976" s="4" t="s">
        <v>1465</v>
      </c>
      <c r="D976" s="4" t="s">
        <v>4581</v>
      </c>
      <c r="E976" s="9">
        <v>1613</v>
      </c>
      <c r="F976" s="4" t="s">
        <v>4533</v>
      </c>
      <c r="G976" s="4" t="s">
        <v>1642</v>
      </c>
      <c r="H976" s="4" t="s">
        <v>4582</v>
      </c>
    </row>
    <row r="977" spans="1:8" ht="48" customHeight="1">
      <c r="A977" s="3" t="s">
        <v>597</v>
      </c>
      <c r="B977" s="3" t="s">
        <v>4583</v>
      </c>
      <c r="C977" s="3" t="s">
        <v>1465</v>
      </c>
      <c r="D977" s="3" t="s">
        <v>4584</v>
      </c>
      <c r="E977" s="8">
        <v>1612</v>
      </c>
      <c r="F977" s="3" t="s">
        <v>4533</v>
      </c>
      <c r="G977" s="3" t="s">
        <v>1642</v>
      </c>
      <c r="H977" s="3" t="s">
        <v>4585</v>
      </c>
    </row>
    <row r="978" spans="1:8" ht="48" customHeight="1">
      <c r="A978" s="4" t="s">
        <v>597</v>
      </c>
      <c r="B978" s="4" t="s">
        <v>4586</v>
      </c>
      <c r="C978" s="4" t="s">
        <v>1465</v>
      </c>
      <c r="D978" s="4" t="s">
        <v>4587</v>
      </c>
      <c r="E978" s="9">
        <v>1611</v>
      </c>
      <c r="F978" s="4" t="s">
        <v>4533</v>
      </c>
      <c r="G978" s="4" t="s">
        <v>1642</v>
      </c>
      <c r="H978" s="4" t="s">
        <v>4588</v>
      </c>
    </row>
    <row r="979" spans="1:8" ht="48" customHeight="1">
      <c r="A979" s="3" t="s">
        <v>597</v>
      </c>
      <c r="B979" s="3" t="s">
        <v>4589</v>
      </c>
      <c r="C979" s="3" t="s">
        <v>1465</v>
      </c>
      <c r="D979" s="3" t="s">
        <v>4590</v>
      </c>
      <c r="E979" s="8">
        <v>1607</v>
      </c>
      <c r="F979" s="3" t="s">
        <v>4533</v>
      </c>
      <c r="G979" s="3" t="s">
        <v>1642</v>
      </c>
      <c r="H979" s="3" t="s">
        <v>4591</v>
      </c>
    </row>
    <row r="980" spans="1:8" ht="30" customHeight="1">
      <c r="A980" s="4" t="s">
        <v>597</v>
      </c>
      <c r="B980" s="4" t="s">
        <v>4592</v>
      </c>
      <c r="C980" s="4" t="s">
        <v>1465</v>
      </c>
      <c r="D980" s="4" t="s">
        <v>4593</v>
      </c>
      <c r="E980" s="9">
        <v>1418</v>
      </c>
      <c r="F980" s="4" t="s">
        <v>1356</v>
      </c>
      <c r="G980" s="4" t="s">
        <v>1664</v>
      </c>
      <c r="H980" s="4" t="s">
        <v>4594</v>
      </c>
    </row>
    <row r="981" spans="1:8" ht="30" customHeight="1">
      <c r="A981" s="3" t="s">
        <v>597</v>
      </c>
      <c r="B981" s="3" t="s">
        <v>4595</v>
      </c>
      <c r="C981" s="3" t="s">
        <v>1465</v>
      </c>
      <c r="D981" s="3" t="s">
        <v>4596</v>
      </c>
      <c r="E981" s="8">
        <v>1301</v>
      </c>
      <c r="F981" s="3" t="s">
        <v>1362</v>
      </c>
      <c r="G981" s="3" t="s">
        <v>1664</v>
      </c>
      <c r="H981" s="3" t="s">
        <v>4517</v>
      </c>
    </row>
    <row r="982" spans="1:8" ht="30" customHeight="1">
      <c r="A982" s="4" t="s">
        <v>597</v>
      </c>
      <c r="B982" s="4" t="s">
        <v>4597</v>
      </c>
      <c r="C982" s="4" t="s">
        <v>1465</v>
      </c>
      <c r="D982" s="4" t="s">
        <v>4598</v>
      </c>
      <c r="E982" s="9">
        <v>1287</v>
      </c>
      <c r="F982" s="4" t="s">
        <v>3001</v>
      </c>
      <c r="G982" s="4" t="s">
        <v>1664</v>
      </c>
      <c r="H982" s="4" t="s">
        <v>4599</v>
      </c>
    </row>
    <row r="983" spans="1:8" ht="30" customHeight="1">
      <c r="A983" s="3" t="s">
        <v>597</v>
      </c>
      <c r="B983" s="3" t="s">
        <v>4600</v>
      </c>
      <c r="C983" s="3" t="s">
        <v>1465</v>
      </c>
      <c r="D983" s="3" t="s">
        <v>4601</v>
      </c>
      <c r="E983" s="8">
        <v>1018</v>
      </c>
      <c r="F983" s="3" t="s">
        <v>1396</v>
      </c>
      <c r="G983" s="3" t="s">
        <v>1642</v>
      </c>
      <c r="H983" s="3" t="s">
        <v>4602</v>
      </c>
    </row>
    <row r="984" spans="1:8" ht="48" customHeight="1">
      <c r="A984" s="4" t="s">
        <v>2460</v>
      </c>
      <c r="B984" s="4" t="s">
        <v>4603</v>
      </c>
      <c r="C984" s="4" t="s">
        <v>1465</v>
      </c>
      <c r="D984" s="4" t="s">
        <v>4604</v>
      </c>
      <c r="E984" s="9">
        <v>1533</v>
      </c>
      <c r="F984" s="4" t="s">
        <v>1351</v>
      </c>
      <c r="G984" s="4" t="s">
        <v>1664</v>
      </c>
      <c r="H984" s="4" t="s">
        <v>4605</v>
      </c>
    </row>
    <row r="985" spans="1:8" ht="30" customHeight="1">
      <c r="A985" s="3" t="s">
        <v>2460</v>
      </c>
      <c r="B985" s="3" t="s">
        <v>2462</v>
      </c>
      <c r="C985" s="3" t="s">
        <v>1465</v>
      </c>
      <c r="D985" s="3" t="s">
        <v>2463</v>
      </c>
      <c r="E985" s="8">
        <v>1204</v>
      </c>
      <c r="F985" s="3" t="s">
        <v>1380</v>
      </c>
      <c r="G985" s="3" t="s">
        <v>1642</v>
      </c>
      <c r="H985" s="3" t="s">
        <v>4606</v>
      </c>
    </row>
    <row r="986" spans="1:8" ht="48" customHeight="1">
      <c r="A986" s="4" t="s">
        <v>2460</v>
      </c>
      <c r="B986" s="4" t="s">
        <v>4607</v>
      </c>
      <c r="C986" s="4" t="s">
        <v>1465</v>
      </c>
      <c r="D986" s="4" t="s">
        <v>4608</v>
      </c>
      <c r="E986" s="9">
        <v>1131</v>
      </c>
      <c r="F986" s="4" t="s">
        <v>1380</v>
      </c>
      <c r="G986" s="4" t="s">
        <v>1642</v>
      </c>
      <c r="H986" s="4" t="s">
        <v>4609</v>
      </c>
    </row>
    <row r="987" spans="1:8" ht="30" customHeight="1">
      <c r="A987" s="3" t="s">
        <v>1946</v>
      </c>
      <c r="B987" s="3" t="s">
        <v>1948</v>
      </c>
      <c r="C987" s="3" t="s">
        <v>1643</v>
      </c>
      <c r="D987" s="3" t="s">
        <v>1949</v>
      </c>
      <c r="E987" s="8">
        <v>1300</v>
      </c>
      <c r="F987" s="3" t="s">
        <v>1362</v>
      </c>
      <c r="G987" s="3" t="s">
        <v>1664</v>
      </c>
      <c r="H987" s="3" t="s">
        <v>4610</v>
      </c>
    </row>
    <row r="988" spans="1:8" ht="30" customHeight="1">
      <c r="A988" s="4" t="s">
        <v>1946</v>
      </c>
      <c r="B988" s="4" t="s">
        <v>4611</v>
      </c>
      <c r="C988" s="4" t="s">
        <v>1465</v>
      </c>
      <c r="D988" s="4" t="s">
        <v>4612</v>
      </c>
      <c r="E988" s="9">
        <v>1503</v>
      </c>
      <c r="F988" s="4" t="s">
        <v>1354</v>
      </c>
      <c r="G988" s="4" t="s">
        <v>1664</v>
      </c>
      <c r="H988" s="4" t="s">
        <v>4613</v>
      </c>
    </row>
    <row r="989" spans="1:8" ht="30" customHeight="1">
      <c r="A989" s="3" t="s">
        <v>2300</v>
      </c>
      <c r="B989" s="3" t="s">
        <v>4614</v>
      </c>
      <c r="C989" s="3" t="s">
        <v>1465</v>
      </c>
      <c r="D989" s="3" t="s">
        <v>4615</v>
      </c>
      <c r="E989" s="8">
        <v>2590</v>
      </c>
      <c r="F989" s="3" t="s">
        <v>1681</v>
      </c>
      <c r="G989" s="3" t="s">
        <v>1664</v>
      </c>
      <c r="H989" s="3" t="s">
        <v>4616</v>
      </c>
    </row>
    <row r="990" spans="1:8" ht="48" customHeight="1">
      <c r="A990" s="4" t="s">
        <v>2300</v>
      </c>
      <c r="B990" s="4" t="s">
        <v>1776</v>
      </c>
      <c r="C990" s="4" t="s">
        <v>1465</v>
      </c>
      <c r="D990" s="4" t="s">
        <v>1777</v>
      </c>
      <c r="E990" s="9">
        <v>2428</v>
      </c>
      <c r="F990" s="4" t="s">
        <v>1778</v>
      </c>
      <c r="G990" s="4" t="s">
        <v>1642</v>
      </c>
      <c r="H990" s="4" t="s">
        <v>4617</v>
      </c>
    </row>
    <row r="991" spans="1:8" ht="30" customHeight="1">
      <c r="A991" s="3" t="s">
        <v>2300</v>
      </c>
      <c r="B991" s="3" t="s">
        <v>1768</v>
      </c>
      <c r="C991" s="3" t="s">
        <v>1465</v>
      </c>
      <c r="D991" s="3" t="s">
        <v>1769</v>
      </c>
      <c r="E991" s="8">
        <v>2245</v>
      </c>
      <c r="F991" s="3" t="s">
        <v>1770</v>
      </c>
      <c r="G991" s="3" t="s">
        <v>1642</v>
      </c>
      <c r="H991" s="3" t="s">
        <v>4618</v>
      </c>
    </row>
    <row r="992" spans="1:8" ht="48" customHeight="1">
      <c r="A992" s="4" t="s">
        <v>2300</v>
      </c>
      <c r="B992" s="4" t="s">
        <v>1780</v>
      </c>
      <c r="C992" s="4" t="s">
        <v>1465</v>
      </c>
      <c r="D992" s="4" t="s">
        <v>1781</v>
      </c>
      <c r="E992" s="9">
        <v>1210</v>
      </c>
      <c r="F992" s="4" t="s">
        <v>1376</v>
      </c>
      <c r="G992" s="4" t="s">
        <v>1642</v>
      </c>
      <c r="H992" s="4" t="s">
        <v>4619</v>
      </c>
    </row>
    <row r="993" spans="1:8" ht="48" customHeight="1">
      <c r="A993" s="3" t="s">
        <v>2300</v>
      </c>
      <c r="B993" s="3" t="s">
        <v>1782</v>
      </c>
      <c r="C993" s="3" t="s">
        <v>1465</v>
      </c>
      <c r="D993" s="3" t="s">
        <v>4620</v>
      </c>
      <c r="E993" s="8">
        <v>1210</v>
      </c>
      <c r="F993" s="3" t="s">
        <v>1376</v>
      </c>
      <c r="G993" s="3" t="s">
        <v>1642</v>
      </c>
      <c r="H993" s="3" t="s">
        <v>4621</v>
      </c>
    </row>
    <row r="994" spans="1:8" ht="48" customHeight="1">
      <c r="A994" s="4" t="s">
        <v>2300</v>
      </c>
      <c r="B994" s="4" t="s">
        <v>1772</v>
      </c>
      <c r="C994" s="4" t="s">
        <v>1465</v>
      </c>
      <c r="D994" s="4" t="s">
        <v>1773</v>
      </c>
      <c r="E994" s="9">
        <v>1202</v>
      </c>
      <c r="F994" s="4" t="s">
        <v>1376</v>
      </c>
      <c r="G994" s="4" t="s">
        <v>1642</v>
      </c>
      <c r="H994" s="4" t="s">
        <v>4622</v>
      </c>
    </row>
    <row r="995" spans="1:8" ht="30" customHeight="1">
      <c r="A995" s="3" t="s">
        <v>2300</v>
      </c>
      <c r="B995" s="3" t="s">
        <v>4623</v>
      </c>
      <c r="C995" s="3" t="s">
        <v>1465</v>
      </c>
      <c r="D995" s="3" t="s">
        <v>4624</v>
      </c>
      <c r="E995" s="8">
        <v>1038</v>
      </c>
      <c r="F995" s="3" t="s">
        <v>1394</v>
      </c>
      <c r="G995" s="3" t="s">
        <v>1664</v>
      </c>
      <c r="H995" s="3" t="s">
        <v>4625</v>
      </c>
    </row>
    <row r="996" spans="1:8" ht="30" customHeight="1">
      <c r="A996" s="4" t="s">
        <v>2300</v>
      </c>
      <c r="B996" s="4" t="s">
        <v>1774</v>
      </c>
      <c r="C996" s="4" t="s">
        <v>1465</v>
      </c>
      <c r="D996" s="4" t="s">
        <v>1775</v>
      </c>
      <c r="E996" s="9">
        <v>1035</v>
      </c>
      <c r="F996" s="4" t="s">
        <v>1394</v>
      </c>
      <c r="G996" s="4" t="s">
        <v>1664</v>
      </c>
      <c r="H996" s="4" t="s">
        <v>4626</v>
      </c>
    </row>
    <row r="997" spans="1:8" ht="48" customHeight="1">
      <c r="A997" s="3" t="s">
        <v>2475</v>
      </c>
      <c r="B997" s="3" t="s">
        <v>4627</v>
      </c>
      <c r="C997" s="3" t="s">
        <v>1465</v>
      </c>
      <c r="D997" s="3" t="s">
        <v>4628</v>
      </c>
      <c r="E997" s="8">
        <v>1545</v>
      </c>
      <c r="F997" s="3" t="s">
        <v>2333</v>
      </c>
      <c r="G997" s="3" t="s">
        <v>1664</v>
      </c>
      <c r="H997" s="3" t="s">
        <v>4629</v>
      </c>
    </row>
    <row r="998" spans="1:8" ht="30" customHeight="1">
      <c r="A998" s="4" t="s">
        <v>2475</v>
      </c>
      <c r="B998" s="4" t="s">
        <v>2044</v>
      </c>
      <c r="C998" s="4" t="s">
        <v>1465</v>
      </c>
      <c r="D998" s="4" t="s">
        <v>2477</v>
      </c>
      <c r="E998" s="9">
        <v>1201</v>
      </c>
      <c r="F998" s="4" t="s">
        <v>1380</v>
      </c>
      <c r="G998" s="4" t="s">
        <v>1642</v>
      </c>
      <c r="H998" s="4" t="s">
        <v>4630</v>
      </c>
    </row>
    <row r="999" spans="1:8" ht="48" customHeight="1">
      <c r="A999" s="3" t="s">
        <v>2475</v>
      </c>
      <c r="B999" s="3" t="s">
        <v>2023</v>
      </c>
      <c r="C999" s="3" t="s">
        <v>1465</v>
      </c>
      <c r="D999" s="3" t="s">
        <v>3922</v>
      </c>
      <c r="E999" s="8">
        <v>1200</v>
      </c>
      <c r="F999" s="3" t="s">
        <v>1380</v>
      </c>
      <c r="G999" s="3" t="s">
        <v>1642</v>
      </c>
      <c r="H999" s="3" t="s">
        <v>4631</v>
      </c>
    </row>
    <row r="1000" spans="1:8" ht="30" customHeight="1">
      <c r="A1000" s="4" t="s">
        <v>1998</v>
      </c>
      <c r="B1000" s="4" t="s">
        <v>2000</v>
      </c>
      <c r="C1000" s="4" t="s">
        <v>1643</v>
      </c>
      <c r="D1000" s="4" t="s">
        <v>2001</v>
      </c>
      <c r="E1000" s="9">
        <v>1201</v>
      </c>
      <c r="F1000" s="4" t="s">
        <v>1380</v>
      </c>
      <c r="G1000" s="4" t="s">
        <v>1642</v>
      </c>
      <c r="H1000" s="4" t="s">
        <v>4632</v>
      </c>
    </row>
    <row r="1001" spans="1:8" ht="30" customHeight="1">
      <c r="A1001" s="3" t="s">
        <v>1998</v>
      </c>
      <c r="B1001" s="3" t="s">
        <v>4633</v>
      </c>
      <c r="C1001" s="3" t="s">
        <v>1465</v>
      </c>
      <c r="D1001" s="3" t="s">
        <v>4634</v>
      </c>
      <c r="E1001" s="8">
        <v>2860</v>
      </c>
      <c r="F1001" s="3" t="s">
        <v>2225</v>
      </c>
      <c r="G1001" s="3" t="s">
        <v>1664</v>
      </c>
      <c r="H1001" s="3" t="s">
        <v>4635</v>
      </c>
    </row>
    <row r="1002" spans="1:8" ht="30" customHeight="1">
      <c r="A1002" s="4" t="s">
        <v>2478</v>
      </c>
      <c r="B1002" s="4" t="s">
        <v>2044</v>
      </c>
      <c r="C1002" s="4" t="s">
        <v>1465</v>
      </c>
      <c r="D1002" s="4" t="s">
        <v>2477</v>
      </c>
      <c r="E1002" s="9">
        <v>1201</v>
      </c>
      <c r="F1002" s="4" t="s">
        <v>1380</v>
      </c>
      <c r="G1002" s="4" t="s">
        <v>1642</v>
      </c>
      <c r="H1002" s="4" t="s">
        <v>4636</v>
      </c>
    </row>
    <row r="1003" spans="1:8" ht="30" customHeight="1">
      <c r="A1003" s="3" t="s">
        <v>861</v>
      </c>
      <c r="B1003" s="3" t="s">
        <v>1951</v>
      </c>
      <c r="C1003" s="3" t="s">
        <v>1643</v>
      </c>
      <c r="D1003" s="3" t="s">
        <v>1952</v>
      </c>
      <c r="E1003" s="8">
        <v>1294</v>
      </c>
      <c r="F1003" s="3" t="s">
        <v>1362</v>
      </c>
      <c r="G1003" s="3" t="s">
        <v>1664</v>
      </c>
      <c r="H1003" s="3" t="s">
        <v>4637</v>
      </c>
    </row>
    <row r="1004" spans="1:8" ht="84" customHeight="1">
      <c r="A1004" s="4" t="s">
        <v>861</v>
      </c>
      <c r="B1004" s="4" t="s">
        <v>1646</v>
      </c>
      <c r="C1004" s="4" t="s">
        <v>1465</v>
      </c>
      <c r="D1004" s="4" t="s">
        <v>1647</v>
      </c>
      <c r="E1004" s="9">
        <v>12910</v>
      </c>
      <c r="F1004" s="4" t="s">
        <v>1641</v>
      </c>
      <c r="G1004" s="4" t="s">
        <v>1642</v>
      </c>
      <c r="H1004" s="4" t="s">
        <v>4638</v>
      </c>
    </row>
    <row r="1005" spans="1:8" ht="30" customHeight="1">
      <c r="A1005" s="3" t="s">
        <v>861</v>
      </c>
      <c r="B1005" s="3" t="s">
        <v>3803</v>
      </c>
      <c r="C1005" s="3" t="s">
        <v>1465</v>
      </c>
      <c r="D1005" s="3" t="s">
        <v>3804</v>
      </c>
      <c r="E1005" s="8">
        <v>2520</v>
      </c>
      <c r="F1005" s="3" t="s">
        <v>1684</v>
      </c>
      <c r="G1005" s="3" t="s">
        <v>1642</v>
      </c>
      <c r="H1005" s="3" t="s">
        <v>4639</v>
      </c>
    </row>
    <row r="1006" spans="1:8" ht="48" customHeight="1">
      <c r="A1006" s="4" t="s">
        <v>642</v>
      </c>
      <c r="B1006" s="4" t="s">
        <v>643</v>
      </c>
      <c r="C1006" s="4" t="s">
        <v>1643</v>
      </c>
      <c r="D1006" s="4" t="s">
        <v>1868</v>
      </c>
      <c r="E1006" s="9">
        <v>2767</v>
      </c>
      <c r="F1006" s="4" t="s">
        <v>1865</v>
      </c>
      <c r="G1006" s="4" t="s">
        <v>1642</v>
      </c>
      <c r="H1006" s="4" t="s">
        <v>4640</v>
      </c>
    </row>
    <row r="1007" spans="1:8" ht="30" customHeight="1">
      <c r="A1007" s="3" t="s">
        <v>642</v>
      </c>
      <c r="B1007" s="3" t="s">
        <v>1869</v>
      </c>
      <c r="C1007" s="3" t="s">
        <v>1643</v>
      </c>
      <c r="D1007" s="3" t="s">
        <v>3964</v>
      </c>
      <c r="E1007" s="8">
        <v>1201</v>
      </c>
      <c r="F1007" s="3" t="s">
        <v>1380</v>
      </c>
      <c r="G1007" s="3" t="s">
        <v>1642</v>
      </c>
      <c r="H1007" s="3" t="s">
        <v>4641</v>
      </c>
    </row>
    <row r="1008" spans="1:8" ht="30" customHeight="1">
      <c r="A1008" s="4" t="s">
        <v>642</v>
      </c>
      <c r="B1008" s="4" t="s">
        <v>636</v>
      </c>
      <c r="C1008" s="4" t="s">
        <v>1465</v>
      </c>
      <c r="D1008" s="4" t="s">
        <v>1853</v>
      </c>
      <c r="E1008" s="9">
        <v>4134</v>
      </c>
      <c r="F1008" s="4" t="s">
        <v>1713</v>
      </c>
      <c r="G1008" s="4" t="s">
        <v>1642</v>
      </c>
      <c r="H1008" s="4" t="s">
        <v>4642</v>
      </c>
    </row>
    <row r="1009" spans="1:8" ht="30" customHeight="1">
      <c r="A1009" s="3" t="s">
        <v>642</v>
      </c>
      <c r="B1009" s="3" t="s">
        <v>753</v>
      </c>
      <c r="C1009" s="3" t="s">
        <v>1465</v>
      </c>
      <c r="D1009" s="3" t="s">
        <v>1712</v>
      </c>
      <c r="E1009" s="8">
        <v>4130</v>
      </c>
      <c r="F1009" s="3" t="s">
        <v>1713</v>
      </c>
      <c r="G1009" s="3" t="s">
        <v>1642</v>
      </c>
      <c r="H1009" s="3" t="s">
        <v>4643</v>
      </c>
    </row>
    <row r="1010" spans="1:8" ht="30" customHeight="1">
      <c r="A1010" s="4" t="s">
        <v>642</v>
      </c>
      <c r="B1010" s="4" t="s">
        <v>1715</v>
      </c>
      <c r="C1010" s="4" t="s">
        <v>1465</v>
      </c>
      <c r="D1010" s="4" t="s">
        <v>1716</v>
      </c>
      <c r="E1010" s="9">
        <v>4129</v>
      </c>
      <c r="F1010" s="4" t="s">
        <v>1713</v>
      </c>
      <c r="G1010" s="4" t="s">
        <v>1642</v>
      </c>
      <c r="H1010" s="4" t="s">
        <v>4644</v>
      </c>
    </row>
    <row r="1011" spans="1:8" ht="30" customHeight="1">
      <c r="A1011" s="3" t="s">
        <v>642</v>
      </c>
      <c r="B1011" s="3" t="s">
        <v>1717</v>
      </c>
      <c r="C1011" s="3" t="s">
        <v>1465</v>
      </c>
      <c r="D1011" s="3" t="s">
        <v>1718</v>
      </c>
      <c r="E1011" s="8">
        <v>4126</v>
      </c>
      <c r="F1011" s="3" t="s">
        <v>1713</v>
      </c>
      <c r="G1011" s="3" t="s">
        <v>1642</v>
      </c>
      <c r="H1011" s="3" t="s">
        <v>4645</v>
      </c>
    </row>
    <row r="1012" spans="1:8" ht="66" customHeight="1">
      <c r="A1012" s="4" t="s">
        <v>642</v>
      </c>
      <c r="B1012" s="4" t="s">
        <v>2232</v>
      </c>
      <c r="C1012" s="4" t="s">
        <v>1465</v>
      </c>
      <c r="D1012" s="4" t="s">
        <v>2233</v>
      </c>
      <c r="E1012" s="9">
        <v>2767</v>
      </c>
      <c r="F1012" s="4" t="s">
        <v>1865</v>
      </c>
      <c r="G1012" s="4" t="s">
        <v>1642</v>
      </c>
      <c r="H1012" s="4" t="s">
        <v>4646</v>
      </c>
    </row>
    <row r="1013" spans="1:8" ht="30" customHeight="1">
      <c r="A1013" s="3" t="s">
        <v>642</v>
      </c>
      <c r="B1013" s="3" t="s">
        <v>4647</v>
      </c>
      <c r="C1013" s="3" t="s">
        <v>1465</v>
      </c>
      <c r="D1013" s="3" t="s">
        <v>4648</v>
      </c>
      <c r="E1013" s="8">
        <v>2754</v>
      </c>
      <c r="F1013" s="3" t="s">
        <v>1865</v>
      </c>
      <c r="G1013" s="3" t="s">
        <v>1642</v>
      </c>
      <c r="H1013" s="3" t="s">
        <v>4649</v>
      </c>
    </row>
    <row r="1014" spans="1:8" ht="48" customHeight="1">
      <c r="A1014" s="4" t="s">
        <v>642</v>
      </c>
      <c r="B1014" s="4" t="s">
        <v>4650</v>
      </c>
      <c r="C1014" s="4" t="s">
        <v>1465</v>
      </c>
      <c r="D1014" s="4" t="s">
        <v>4651</v>
      </c>
      <c r="E1014" s="9">
        <v>2754</v>
      </c>
      <c r="F1014" s="4" t="s">
        <v>1865</v>
      </c>
      <c r="G1014" s="4" t="s">
        <v>1642</v>
      </c>
      <c r="H1014" s="4" t="s">
        <v>4652</v>
      </c>
    </row>
    <row r="1015" spans="1:8" ht="48" customHeight="1">
      <c r="A1015" s="3" t="s">
        <v>642</v>
      </c>
      <c r="B1015" s="3" t="s">
        <v>4653</v>
      </c>
      <c r="C1015" s="3" t="s">
        <v>1465</v>
      </c>
      <c r="D1015" s="3" t="s">
        <v>4654</v>
      </c>
      <c r="E1015" s="8">
        <v>2741</v>
      </c>
      <c r="F1015" s="3" t="s">
        <v>1865</v>
      </c>
      <c r="G1015" s="3" t="s">
        <v>1642</v>
      </c>
      <c r="H1015" s="3" t="s">
        <v>4655</v>
      </c>
    </row>
    <row r="1016" spans="1:8" ht="48" customHeight="1">
      <c r="A1016" s="4" t="s">
        <v>642</v>
      </c>
      <c r="B1016" s="4" t="s">
        <v>4656</v>
      </c>
      <c r="C1016" s="4" t="s">
        <v>1465</v>
      </c>
      <c r="D1016" s="4" t="s">
        <v>4657</v>
      </c>
      <c r="E1016" s="9">
        <v>2728</v>
      </c>
      <c r="F1016" s="4" t="s">
        <v>1865</v>
      </c>
      <c r="G1016" s="4" t="s">
        <v>1642</v>
      </c>
      <c r="H1016" s="4" t="s">
        <v>4658</v>
      </c>
    </row>
    <row r="1017" spans="1:8" ht="48" customHeight="1">
      <c r="A1017" s="3" t="s">
        <v>642</v>
      </c>
      <c r="B1017" s="3" t="s">
        <v>4659</v>
      </c>
      <c r="C1017" s="3" t="s">
        <v>1465</v>
      </c>
      <c r="D1017" s="3" t="s">
        <v>4660</v>
      </c>
      <c r="E1017" s="8">
        <v>1567</v>
      </c>
      <c r="F1017" s="3" t="s">
        <v>1672</v>
      </c>
      <c r="G1017" s="3" t="s">
        <v>1664</v>
      </c>
      <c r="H1017" s="3" t="s">
        <v>4661</v>
      </c>
    </row>
    <row r="1018" spans="1:8" ht="48" customHeight="1">
      <c r="A1018" s="4" t="s">
        <v>642</v>
      </c>
      <c r="B1018" s="4" t="s">
        <v>4662</v>
      </c>
      <c r="C1018" s="4" t="s">
        <v>1465</v>
      </c>
      <c r="D1018" s="4" t="s">
        <v>4663</v>
      </c>
      <c r="E1018" s="9">
        <v>1559</v>
      </c>
      <c r="F1018" s="4" t="s">
        <v>1672</v>
      </c>
      <c r="G1018" s="4" t="s">
        <v>1664</v>
      </c>
      <c r="H1018" s="4" t="s">
        <v>4664</v>
      </c>
    </row>
    <row r="1019" spans="1:8" ht="66" customHeight="1">
      <c r="A1019" s="3" t="s">
        <v>642</v>
      </c>
      <c r="B1019" s="3" t="s">
        <v>4665</v>
      </c>
      <c r="C1019" s="3" t="s">
        <v>1465</v>
      </c>
      <c r="D1019" s="3" t="s">
        <v>4666</v>
      </c>
      <c r="E1019" s="8">
        <v>1550</v>
      </c>
      <c r="F1019" s="3" t="s">
        <v>1672</v>
      </c>
      <c r="G1019" s="3" t="s">
        <v>1664</v>
      </c>
      <c r="H1019" s="3" t="s">
        <v>4667</v>
      </c>
    </row>
    <row r="1020" spans="1:8" ht="48" customHeight="1">
      <c r="A1020" s="4" t="s">
        <v>642</v>
      </c>
      <c r="B1020" s="4" t="s">
        <v>4668</v>
      </c>
      <c r="C1020" s="4" t="s">
        <v>1465</v>
      </c>
      <c r="D1020" s="4" t="s">
        <v>4669</v>
      </c>
      <c r="E1020" s="9">
        <v>1326</v>
      </c>
      <c r="F1020" s="4" t="s">
        <v>1672</v>
      </c>
      <c r="G1020" s="4" t="s">
        <v>1664</v>
      </c>
      <c r="H1020" s="4" t="s">
        <v>4670</v>
      </c>
    </row>
    <row r="1021" spans="1:8" ht="30" customHeight="1">
      <c r="A1021" s="3" t="s">
        <v>642</v>
      </c>
      <c r="B1021" s="3" t="s">
        <v>4671</v>
      </c>
      <c r="C1021" s="3" t="s">
        <v>1465</v>
      </c>
      <c r="D1021" s="3" t="s">
        <v>4672</v>
      </c>
      <c r="E1021" s="8">
        <v>1272</v>
      </c>
      <c r="F1021" s="3" t="s">
        <v>1362</v>
      </c>
      <c r="G1021" s="3" t="s">
        <v>1664</v>
      </c>
      <c r="H1021" s="3" t="s">
        <v>4673</v>
      </c>
    </row>
    <row r="1022" spans="1:8" ht="66" customHeight="1">
      <c r="A1022" s="4" t="s">
        <v>642</v>
      </c>
      <c r="B1022" s="4" t="s">
        <v>4674</v>
      </c>
      <c r="C1022" s="4" t="s">
        <v>1465</v>
      </c>
      <c r="D1022" s="4" t="s">
        <v>4675</v>
      </c>
      <c r="E1022" s="9">
        <v>1209</v>
      </c>
      <c r="F1022" s="4" t="s">
        <v>1376</v>
      </c>
      <c r="G1022" s="4" t="s">
        <v>1642</v>
      </c>
      <c r="H1022" s="4" t="s">
        <v>4676</v>
      </c>
    </row>
    <row r="1023" spans="1:8" ht="48" customHeight="1">
      <c r="A1023" s="3" t="s">
        <v>642</v>
      </c>
      <c r="B1023" s="3" t="s">
        <v>4677</v>
      </c>
      <c r="C1023" s="3" t="s">
        <v>1465</v>
      </c>
      <c r="D1023" s="3" t="s">
        <v>4678</v>
      </c>
      <c r="E1023" s="8">
        <v>1209</v>
      </c>
      <c r="F1023" s="3" t="s">
        <v>1376</v>
      </c>
      <c r="G1023" s="3" t="s">
        <v>1642</v>
      </c>
      <c r="H1023" s="3" t="s">
        <v>4679</v>
      </c>
    </row>
    <row r="1024" spans="1:8" ht="48" customHeight="1">
      <c r="A1024" s="4" t="s">
        <v>642</v>
      </c>
      <c r="B1024" s="4" t="s">
        <v>4680</v>
      </c>
      <c r="C1024" s="4" t="s">
        <v>1465</v>
      </c>
      <c r="D1024" s="4" t="s">
        <v>4681</v>
      </c>
      <c r="E1024" s="9">
        <v>1208</v>
      </c>
      <c r="F1024" s="4" t="s">
        <v>1376</v>
      </c>
      <c r="G1024" s="4" t="s">
        <v>1642</v>
      </c>
      <c r="H1024" s="4" t="s">
        <v>4682</v>
      </c>
    </row>
    <row r="1025" spans="1:8" ht="48" customHeight="1">
      <c r="A1025" s="3" t="s">
        <v>642</v>
      </c>
      <c r="B1025" s="3" t="s">
        <v>4157</v>
      </c>
      <c r="C1025" s="3" t="s">
        <v>1465</v>
      </c>
      <c r="D1025" s="3" t="s">
        <v>4158</v>
      </c>
      <c r="E1025" s="8">
        <v>1207</v>
      </c>
      <c r="F1025" s="3" t="s">
        <v>1376</v>
      </c>
      <c r="G1025" s="3" t="s">
        <v>1642</v>
      </c>
      <c r="H1025" s="3" t="s">
        <v>4683</v>
      </c>
    </row>
    <row r="1026" spans="1:8" ht="30" customHeight="1">
      <c r="A1026" s="4" t="s">
        <v>642</v>
      </c>
      <c r="B1026" s="4" t="s">
        <v>4077</v>
      </c>
      <c r="C1026" s="4" t="s">
        <v>1465</v>
      </c>
      <c r="D1026" s="4" t="s">
        <v>4078</v>
      </c>
      <c r="E1026" s="9">
        <v>1195</v>
      </c>
      <c r="F1026" s="4" t="s">
        <v>1380</v>
      </c>
      <c r="G1026" s="4" t="s">
        <v>1642</v>
      </c>
      <c r="H1026" s="4" t="s">
        <v>4684</v>
      </c>
    </row>
    <row r="1027" spans="1:8" ht="30" customHeight="1">
      <c r="A1027" s="3" t="s">
        <v>2002</v>
      </c>
      <c r="B1027" s="3" t="s">
        <v>2004</v>
      </c>
      <c r="C1027" s="3" t="s">
        <v>1643</v>
      </c>
      <c r="D1027" s="3" t="s">
        <v>2005</v>
      </c>
      <c r="E1027" s="8">
        <v>1201</v>
      </c>
      <c r="F1027" s="3" t="s">
        <v>1380</v>
      </c>
      <c r="G1027" s="3" t="s">
        <v>1642</v>
      </c>
      <c r="H1027" s="3" t="s">
        <v>4685</v>
      </c>
    </row>
    <row r="1028" spans="1:8" ht="48" customHeight="1">
      <c r="A1028" s="4" t="s">
        <v>2002</v>
      </c>
      <c r="B1028" s="4" t="s">
        <v>4686</v>
      </c>
      <c r="C1028" s="4" t="s">
        <v>1465</v>
      </c>
      <c r="D1028" s="4" t="s">
        <v>4687</v>
      </c>
      <c r="E1028" s="9">
        <v>5185</v>
      </c>
      <c r="F1028" s="4" t="s">
        <v>1815</v>
      </c>
      <c r="G1028" s="4" t="s">
        <v>1642</v>
      </c>
      <c r="H1028" s="4" t="s">
        <v>4688</v>
      </c>
    </row>
    <row r="1029" spans="1:8" ht="48" customHeight="1">
      <c r="A1029" s="3" t="s">
        <v>2002</v>
      </c>
      <c r="B1029" s="3" t="s">
        <v>1813</v>
      </c>
      <c r="C1029" s="3" t="s">
        <v>1465</v>
      </c>
      <c r="D1029" s="3" t="s">
        <v>1814</v>
      </c>
      <c r="E1029" s="8">
        <v>5183</v>
      </c>
      <c r="F1029" s="3" t="s">
        <v>1815</v>
      </c>
      <c r="G1029" s="3" t="s">
        <v>1642</v>
      </c>
      <c r="H1029" s="3" t="s">
        <v>4689</v>
      </c>
    </row>
    <row r="1030" spans="1:8" ht="48" customHeight="1">
      <c r="A1030" s="4" t="s">
        <v>2002</v>
      </c>
      <c r="B1030" s="4" t="s">
        <v>4690</v>
      </c>
      <c r="C1030" s="4" t="s">
        <v>1465</v>
      </c>
      <c r="D1030" s="4" t="s">
        <v>4691</v>
      </c>
      <c r="E1030" s="9">
        <v>3679</v>
      </c>
      <c r="F1030" s="4" t="s">
        <v>1703</v>
      </c>
      <c r="G1030" s="4" t="s">
        <v>1642</v>
      </c>
      <c r="H1030" s="4" t="s">
        <v>4692</v>
      </c>
    </row>
    <row r="1031" spans="1:8" ht="48" customHeight="1">
      <c r="A1031" s="3" t="s">
        <v>2002</v>
      </c>
      <c r="B1031" s="3" t="s">
        <v>4693</v>
      </c>
      <c r="C1031" s="3" t="s">
        <v>1465</v>
      </c>
      <c r="D1031" s="3" t="s">
        <v>4694</v>
      </c>
      <c r="E1031" s="8">
        <v>3676</v>
      </c>
      <c r="F1031" s="3" t="s">
        <v>1703</v>
      </c>
      <c r="G1031" s="3" t="s">
        <v>1642</v>
      </c>
      <c r="H1031" s="3" t="s">
        <v>4695</v>
      </c>
    </row>
    <row r="1032" spans="1:8" ht="30" customHeight="1">
      <c r="A1032" s="4" t="s">
        <v>2002</v>
      </c>
      <c r="B1032" s="4" t="s">
        <v>1069</v>
      </c>
      <c r="C1032" s="4" t="s">
        <v>1465</v>
      </c>
      <c r="D1032" s="4" t="s">
        <v>3960</v>
      </c>
      <c r="E1032" s="9">
        <v>3461</v>
      </c>
      <c r="F1032" s="4" t="s">
        <v>2209</v>
      </c>
      <c r="G1032" s="4" t="s">
        <v>1642</v>
      </c>
      <c r="H1032" s="4" t="s">
        <v>4696</v>
      </c>
    </row>
    <row r="1033" spans="1:8" ht="48" customHeight="1">
      <c r="A1033" s="3" t="s">
        <v>2002</v>
      </c>
      <c r="B1033" s="3" t="s">
        <v>1675</v>
      </c>
      <c r="C1033" s="3" t="s">
        <v>1465</v>
      </c>
      <c r="D1033" s="3" t="s">
        <v>1676</v>
      </c>
      <c r="E1033" s="8">
        <v>2698</v>
      </c>
      <c r="F1033" s="3" t="s">
        <v>1677</v>
      </c>
      <c r="G1033" s="3" t="s">
        <v>1664</v>
      </c>
      <c r="H1033" s="3" t="s">
        <v>4697</v>
      </c>
    </row>
    <row r="1034" spans="1:8" ht="48" customHeight="1">
      <c r="A1034" s="4" t="s">
        <v>2002</v>
      </c>
      <c r="B1034" s="4" t="s">
        <v>1679</v>
      </c>
      <c r="C1034" s="4" t="s">
        <v>1465</v>
      </c>
      <c r="D1034" s="4" t="s">
        <v>1680</v>
      </c>
      <c r="E1034" s="9">
        <v>2650</v>
      </c>
      <c r="F1034" s="4" t="s">
        <v>1681</v>
      </c>
      <c r="G1034" s="4" t="s">
        <v>1664</v>
      </c>
      <c r="H1034" s="4" t="s">
        <v>4698</v>
      </c>
    </row>
    <row r="1035" spans="1:8" ht="48" customHeight="1">
      <c r="A1035" s="3" t="s">
        <v>2002</v>
      </c>
      <c r="B1035" s="3" t="s">
        <v>1682</v>
      </c>
      <c r="C1035" s="3" t="s">
        <v>1465</v>
      </c>
      <c r="D1035" s="3" t="s">
        <v>1683</v>
      </c>
      <c r="E1035" s="8">
        <v>2531</v>
      </c>
      <c r="F1035" s="3" t="s">
        <v>1684</v>
      </c>
      <c r="G1035" s="3" t="s">
        <v>1642</v>
      </c>
      <c r="H1035" s="3" t="s">
        <v>4699</v>
      </c>
    </row>
    <row r="1036" spans="1:8" ht="48" customHeight="1">
      <c r="A1036" s="4" t="s">
        <v>2002</v>
      </c>
      <c r="B1036" s="4" t="s">
        <v>4700</v>
      </c>
      <c r="C1036" s="4" t="s">
        <v>1465</v>
      </c>
      <c r="D1036" s="4" t="s">
        <v>4691</v>
      </c>
      <c r="E1036" s="9">
        <v>2441</v>
      </c>
      <c r="F1036" s="4" t="s">
        <v>1778</v>
      </c>
      <c r="G1036" s="4" t="s">
        <v>1642</v>
      </c>
      <c r="H1036" s="4" t="s">
        <v>4692</v>
      </c>
    </row>
    <row r="1037" spans="1:8" ht="48" customHeight="1">
      <c r="A1037" s="3" t="s">
        <v>2002</v>
      </c>
      <c r="B1037" s="3" t="s">
        <v>4701</v>
      </c>
      <c r="C1037" s="3" t="s">
        <v>1465</v>
      </c>
      <c r="D1037" s="3" t="s">
        <v>4694</v>
      </c>
      <c r="E1037" s="8">
        <v>2440</v>
      </c>
      <c r="F1037" s="3" t="s">
        <v>1778</v>
      </c>
      <c r="G1037" s="3" t="s">
        <v>1642</v>
      </c>
      <c r="H1037" s="3" t="s">
        <v>4695</v>
      </c>
    </row>
    <row r="1038" spans="1:8" ht="48" customHeight="1">
      <c r="A1038" s="4" t="s">
        <v>2002</v>
      </c>
      <c r="B1038" s="4" t="s">
        <v>1817</v>
      </c>
      <c r="C1038" s="4" t="s">
        <v>1465</v>
      </c>
      <c r="D1038" s="4" t="s">
        <v>1814</v>
      </c>
      <c r="E1038" s="9">
        <v>2439</v>
      </c>
      <c r="F1038" s="4" t="s">
        <v>1778</v>
      </c>
      <c r="G1038" s="4" t="s">
        <v>1642</v>
      </c>
      <c r="H1038" s="4" t="s">
        <v>4689</v>
      </c>
    </row>
    <row r="1039" spans="1:8" ht="48" customHeight="1">
      <c r="A1039" s="3" t="s">
        <v>2002</v>
      </c>
      <c r="B1039" s="3" t="s">
        <v>4702</v>
      </c>
      <c r="C1039" s="3" t="s">
        <v>1465</v>
      </c>
      <c r="D1039" s="3" t="s">
        <v>4703</v>
      </c>
      <c r="E1039" s="8">
        <v>2436</v>
      </c>
      <c r="F1039" s="3" t="s">
        <v>1778</v>
      </c>
      <c r="G1039" s="3" t="s">
        <v>1642</v>
      </c>
      <c r="H1039" s="3" t="s">
        <v>4704</v>
      </c>
    </row>
    <row r="1040" spans="1:8" ht="48" customHeight="1">
      <c r="A1040" s="4" t="s">
        <v>2002</v>
      </c>
      <c r="B1040" s="4" t="s">
        <v>4705</v>
      </c>
      <c r="C1040" s="4" t="s">
        <v>1465</v>
      </c>
      <c r="D1040" s="4" t="s">
        <v>4706</v>
      </c>
      <c r="E1040" s="9">
        <v>2435</v>
      </c>
      <c r="F1040" s="4" t="s">
        <v>1778</v>
      </c>
      <c r="G1040" s="4" t="s">
        <v>1642</v>
      </c>
      <c r="H1040" s="4" t="s">
        <v>4688</v>
      </c>
    </row>
    <row r="1041" spans="1:8" ht="30" customHeight="1">
      <c r="A1041" s="3" t="s">
        <v>2002</v>
      </c>
      <c r="B1041" s="3" t="s">
        <v>4429</v>
      </c>
      <c r="C1041" s="3" t="s">
        <v>1465</v>
      </c>
      <c r="D1041" s="3" t="s">
        <v>4430</v>
      </c>
      <c r="E1041" s="8">
        <v>1657</v>
      </c>
      <c r="F1041" s="3" t="s">
        <v>2209</v>
      </c>
      <c r="G1041" s="3" t="s">
        <v>1642</v>
      </c>
      <c r="H1041" s="3" t="s">
        <v>4707</v>
      </c>
    </row>
    <row r="1042" spans="1:8" ht="30" customHeight="1">
      <c r="A1042" s="4" t="s">
        <v>2002</v>
      </c>
      <c r="B1042" s="4" t="s">
        <v>4708</v>
      </c>
      <c r="C1042" s="4" t="s">
        <v>1465</v>
      </c>
      <c r="D1042" s="4" t="s">
        <v>4709</v>
      </c>
      <c r="E1042" s="9">
        <v>1655</v>
      </c>
      <c r="F1042" s="4" t="s">
        <v>2209</v>
      </c>
      <c r="G1042" s="4" t="s">
        <v>1642</v>
      </c>
      <c r="H1042" s="4" t="s">
        <v>4710</v>
      </c>
    </row>
    <row r="1043" spans="1:8" ht="30" customHeight="1">
      <c r="A1043" s="3" t="s">
        <v>2002</v>
      </c>
      <c r="B1043" s="3" t="s">
        <v>4711</v>
      </c>
      <c r="C1043" s="3" t="s">
        <v>1465</v>
      </c>
      <c r="D1043" s="3" t="s">
        <v>4712</v>
      </c>
      <c r="E1043" s="8">
        <v>1654</v>
      </c>
      <c r="F1043" s="3" t="s">
        <v>2209</v>
      </c>
      <c r="G1043" s="3" t="s">
        <v>1642</v>
      </c>
      <c r="H1043" s="3" t="s">
        <v>4713</v>
      </c>
    </row>
    <row r="1044" spans="1:8" ht="30" customHeight="1">
      <c r="A1044" s="4" t="s">
        <v>2002</v>
      </c>
      <c r="B1044" s="4" t="s">
        <v>4714</v>
      </c>
      <c r="C1044" s="4" t="s">
        <v>1465</v>
      </c>
      <c r="D1044" s="4" t="s">
        <v>4715</v>
      </c>
      <c r="E1044" s="9">
        <v>1649</v>
      </c>
      <c r="F1044" s="4" t="s">
        <v>2209</v>
      </c>
      <c r="G1044" s="4" t="s">
        <v>1642</v>
      </c>
      <c r="H1044" s="4" t="s">
        <v>4716</v>
      </c>
    </row>
    <row r="1045" spans="1:8" ht="30" customHeight="1">
      <c r="A1045" s="3" t="s">
        <v>2002</v>
      </c>
      <c r="B1045" s="3" t="s">
        <v>4717</v>
      </c>
      <c r="C1045" s="3" t="s">
        <v>1465</v>
      </c>
      <c r="D1045" s="3" t="s">
        <v>4718</v>
      </c>
      <c r="E1045" s="8">
        <v>1638</v>
      </c>
      <c r="F1045" s="3" t="s">
        <v>2209</v>
      </c>
      <c r="G1045" s="3" t="s">
        <v>1642</v>
      </c>
      <c r="H1045" s="3" t="s">
        <v>4719</v>
      </c>
    </row>
    <row r="1046" spans="1:8" ht="48" customHeight="1">
      <c r="A1046" s="4" t="s">
        <v>2002</v>
      </c>
      <c r="B1046" s="4" t="s">
        <v>4720</v>
      </c>
      <c r="C1046" s="4" t="s">
        <v>1465</v>
      </c>
      <c r="D1046" s="4" t="s">
        <v>4721</v>
      </c>
      <c r="E1046" s="9">
        <v>1600</v>
      </c>
      <c r="F1046" s="4" t="s">
        <v>2687</v>
      </c>
      <c r="G1046" s="4" t="s">
        <v>1664</v>
      </c>
      <c r="H1046" s="4" t="s">
        <v>4722</v>
      </c>
    </row>
    <row r="1047" spans="1:8" ht="48" customHeight="1">
      <c r="A1047" s="3" t="s">
        <v>2002</v>
      </c>
      <c r="B1047" s="3" t="s">
        <v>4723</v>
      </c>
      <c r="C1047" s="3" t="s">
        <v>1465</v>
      </c>
      <c r="D1047" s="3" t="s">
        <v>4724</v>
      </c>
      <c r="E1047" s="8">
        <v>1595</v>
      </c>
      <c r="F1047" s="3" t="s">
        <v>2687</v>
      </c>
      <c r="G1047" s="3" t="s">
        <v>1664</v>
      </c>
      <c r="H1047" s="3" t="s">
        <v>4725</v>
      </c>
    </row>
    <row r="1048" spans="1:8" ht="48" customHeight="1">
      <c r="A1048" s="4" t="s">
        <v>2002</v>
      </c>
      <c r="B1048" s="4" t="s">
        <v>4726</v>
      </c>
      <c r="C1048" s="4" t="s">
        <v>1465</v>
      </c>
      <c r="D1048" s="4" t="s">
        <v>4727</v>
      </c>
      <c r="E1048" s="9">
        <v>1553</v>
      </c>
      <c r="F1048" s="4" t="s">
        <v>1672</v>
      </c>
      <c r="G1048" s="4" t="s">
        <v>1664</v>
      </c>
      <c r="H1048" s="4" t="s">
        <v>4728</v>
      </c>
    </row>
    <row r="1049" spans="1:8" ht="30" customHeight="1">
      <c r="A1049" s="3" t="s">
        <v>2002</v>
      </c>
      <c r="B1049" s="3" t="s">
        <v>4729</v>
      </c>
      <c r="C1049" s="3" t="s">
        <v>1465</v>
      </c>
      <c r="D1049" s="3" t="s">
        <v>4730</v>
      </c>
      <c r="E1049" s="8">
        <v>1049</v>
      </c>
      <c r="F1049" s="3" t="s">
        <v>1394</v>
      </c>
      <c r="G1049" s="3" t="s">
        <v>1664</v>
      </c>
      <c r="H1049" s="3" t="s">
        <v>4731</v>
      </c>
    </row>
    <row r="1050" spans="1:8" ht="48" customHeight="1">
      <c r="A1050" s="4" t="s">
        <v>2002</v>
      </c>
      <c r="B1050" s="4" t="s">
        <v>4732</v>
      </c>
      <c r="C1050" s="4" t="s">
        <v>1465</v>
      </c>
      <c r="D1050" s="4" t="s">
        <v>4703</v>
      </c>
      <c r="E1050" s="9">
        <v>1046</v>
      </c>
      <c r="F1050" s="4" t="s">
        <v>1394</v>
      </c>
      <c r="G1050" s="4" t="s">
        <v>1664</v>
      </c>
      <c r="H1050" s="4" t="s">
        <v>4704</v>
      </c>
    </row>
    <row r="1051" spans="1:8" ht="30" customHeight="1">
      <c r="A1051" s="3" t="s">
        <v>2002</v>
      </c>
      <c r="B1051" s="3" t="s">
        <v>4733</v>
      </c>
      <c r="C1051" s="3" t="s">
        <v>1465</v>
      </c>
      <c r="D1051" s="3" t="s">
        <v>4734</v>
      </c>
      <c r="E1051" s="8">
        <v>1030</v>
      </c>
      <c r="F1051" s="3" t="s">
        <v>1396</v>
      </c>
      <c r="G1051" s="3" t="s">
        <v>1642</v>
      </c>
      <c r="H1051" s="3" t="s">
        <v>4735</v>
      </c>
    </row>
    <row r="1052" spans="1:8" ht="48" customHeight="1">
      <c r="A1052" s="4" t="s">
        <v>2002</v>
      </c>
      <c r="B1052" s="4" t="s">
        <v>4736</v>
      </c>
      <c r="C1052" s="4" t="s">
        <v>1465</v>
      </c>
      <c r="D1052" s="4" t="s">
        <v>4737</v>
      </c>
      <c r="E1052" s="9">
        <v>1029</v>
      </c>
      <c r="F1052" s="4" t="s">
        <v>1396</v>
      </c>
      <c r="G1052" s="4" t="s">
        <v>1642</v>
      </c>
      <c r="H1052" s="4" t="s">
        <v>4738</v>
      </c>
    </row>
    <row r="1053" spans="1:8" ht="48" customHeight="1">
      <c r="A1053" s="3" t="s">
        <v>2002</v>
      </c>
      <c r="B1053" s="3" t="s">
        <v>4739</v>
      </c>
      <c r="C1053" s="3" t="s">
        <v>1465</v>
      </c>
      <c r="D1053" s="3" t="s">
        <v>4740</v>
      </c>
      <c r="E1053" s="8">
        <v>1029</v>
      </c>
      <c r="F1053" s="3" t="s">
        <v>1396</v>
      </c>
      <c r="G1053" s="3" t="s">
        <v>1642</v>
      </c>
      <c r="H1053" s="3" t="s">
        <v>4741</v>
      </c>
    </row>
    <row r="1054" spans="1:8" ht="48" customHeight="1">
      <c r="A1054" s="4" t="s">
        <v>2002</v>
      </c>
      <c r="B1054" s="4" t="s">
        <v>4742</v>
      </c>
      <c r="C1054" s="4" t="s">
        <v>1465</v>
      </c>
      <c r="D1054" s="4" t="s">
        <v>4743</v>
      </c>
      <c r="E1054" s="9">
        <v>1026</v>
      </c>
      <c r="F1054" s="4" t="s">
        <v>1396</v>
      </c>
      <c r="G1054" s="4" t="s">
        <v>1642</v>
      </c>
      <c r="H1054" s="4" t="s">
        <v>4744</v>
      </c>
    </row>
    <row r="1055" spans="1:8" ht="30" customHeight="1">
      <c r="A1055" s="3" t="s">
        <v>2002</v>
      </c>
      <c r="B1055" s="3" t="s">
        <v>4745</v>
      </c>
      <c r="C1055" s="3" t="s">
        <v>1465</v>
      </c>
      <c r="D1055" s="3" t="s">
        <v>4746</v>
      </c>
      <c r="E1055" s="8">
        <v>1018</v>
      </c>
      <c r="F1055" s="3" t="s">
        <v>1394</v>
      </c>
      <c r="G1055" s="3" t="s">
        <v>1664</v>
      </c>
      <c r="H1055" s="3" t="s">
        <v>4747</v>
      </c>
    </row>
    <row r="1056" spans="1:8" ht="30" customHeight="1">
      <c r="A1056" s="4" t="s">
        <v>2002</v>
      </c>
      <c r="B1056" s="4" t="s">
        <v>4748</v>
      </c>
      <c r="C1056" s="4" t="s">
        <v>1465</v>
      </c>
      <c r="D1056" s="4" t="s">
        <v>4749</v>
      </c>
      <c r="E1056" s="9">
        <v>1016</v>
      </c>
      <c r="F1056" s="4" t="s">
        <v>1396</v>
      </c>
      <c r="G1056" s="4" t="s">
        <v>1642</v>
      </c>
      <c r="H1056" s="4" t="s">
        <v>4750</v>
      </c>
    </row>
    <row r="1057" spans="1:8" ht="30" customHeight="1">
      <c r="A1057" s="3" t="s">
        <v>1993</v>
      </c>
      <c r="B1057" s="3" t="s">
        <v>1997</v>
      </c>
      <c r="C1057" s="3" t="s">
        <v>1643</v>
      </c>
      <c r="D1057" s="3" t="s">
        <v>4751</v>
      </c>
      <c r="E1057" s="8">
        <v>1314</v>
      </c>
      <c r="F1057" s="3" t="s">
        <v>1362</v>
      </c>
      <c r="G1057" s="3" t="s">
        <v>1664</v>
      </c>
      <c r="H1057" s="3" t="s">
        <v>4752</v>
      </c>
    </row>
    <row r="1058" spans="1:8" ht="30" customHeight="1">
      <c r="A1058" s="4" t="s">
        <v>1993</v>
      </c>
      <c r="B1058" s="4" t="s">
        <v>1995</v>
      </c>
      <c r="C1058" s="4" t="s">
        <v>1643</v>
      </c>
      <c r="D1058" s="4" t="s">
        <v>1996</v>
      </c>
      <c r="E1058" s="9">
        <v>1202</v>
      </c>
      <c r="F1058" s="4" t="s">
        <v>1380</v>
      </c>
      <c r="G1058" s="4" t="s">
        <v>1642</v>
      </c>
      <c r="H1058" s="4" t="s">
        <v>4753</v>
      </c>
    </row>
    <row r="1059" spans="1:8" ht="30" customHeight="1">
      <c r="A1059" s="3" t="s">
        <v>1993</v>
      </c>
      <c r="B1059" s="3" t="s">
        <v>2990</v>
      </c>
      <c r="C1059" s="3" t="s">
        <v>1465</v>
      </c>
      <c r="D1059" s="3" t="s">
        <v>2991</v>
      </c>
      <c r="E1059" s="8">
        <v>2883</v>
      </c>
      <c r="F1059" s="3" t="s">
        <v>2225</v>
      </c>
      <c r="G1059" s="3" t="s">
        <v>1664</v>
      </c>
      <c r="H1059" s="3" t="s">
        <v>2992</v>
      </c>
    </row>
    <row r="1060" spans="1:8" ht="30" customHeight="1">
      <c r="A1060" s="4" t="s">
        <v>1993</v>
      </c>
      <c r="B1060" s="4" t="s">
        <v>4754</v>
      </c>
      <c r="C1060" s="4" t="s">
        <v>1465</v>
      </c>
      <c r="D1060" s="4" t="s">
        <v>4755</v>
      </c>
      <c r="E1060" s="9">
        <v>1504</v>
      </c>
      <c r="F1060" s="4" t="s">
        <v>1354</v>
      </c>
      <c r="G1060" s="4" t="s">
        <v>1664</v>
      </c>
      <c r="H1060" s="4" t="s">
        <v>4756</v>
      </c>
    </row>
    <row r="1061" spans="1:8" ht="48" customHeight="1">
      <c r="A1061" s="3" t="s">
        <v>771</v>
      </c>
      <c r="B1061" s="3" t="s">
        <v>1848</v>
      </c>
      <c r="C1061" s="3" t="s">
        <v>1643</v>
      </c>
      <c r="D1061" s="3" t="s">
        <v>1849</v>
      </c>
      <c r="E1061" s="8">
        <v>6132</v>
      </c>
      <c r="F1061" s="3" t="s">
        <v>1850</v>
      </c>
      <c r="G1061" s="3" t="s">
        <v>1664</v>
      </c>
      <c r="H1061" s="3" t="s">
        <v>4757</v>
      </c>
    </row>
    <row r="1062" spans="1:8" ht="48" customHeight="1">
      <c r="A1062" s="4" t="s">
        <v>771</v>
      </c>
      <c r="B1062" s="4" t="s">
        <v>1851</v>
      </c>
      <c r="C1062" s="4" t="s">
        <v>1643</v>
      </c>
      <c r="D1062" s="4" t="s">
        <v>4758</v>
      </c>
      <c r="E1062" s="9">
        <v>6123</v>
      </c>
      <c r="F1062" s="4" t="s">
        <v>1850</v>
      </c>
      <c r="G1062" s="4" t="s">
        <v>1664</v>
      </c>
      <c r="H1062" s="4" t="s">
        <v>4759</v>
      </c>
    </row>
    <row r="1063" spans="1:8" ht="30" customHeight="1">
      <c r="A1063" s="3" t="s">
        <v>771</v>
      </c>
      <c r="B1063" s="3" t="s">
        <v>4760</v>
      </c>
      <c r="C1063" s="3" t="s">
        <v>1465</v>
      </c>
      <c r="D1063" s="3" t="s">
        <v>4761</v>
      </c>
      <c r="E1063" s="8">
        <v>3951</v>
      </c>
      <c r="F1063" s="3" t="s">
        <v>4762</v>
      </c>
      <c r="G1063" s="3" t="s">
        <v>1642</v>
      </c>
      <c r="H1063" s="3" t="s">
        <v>4763</v>
      </c>
    </row>
    <row r="1064" spans="1:8" ht="30" customHeight="1">
      <c r="A1064" s="4" t="s">
        <v>771</v>
      </c>
      <c r="B1064" s="4" t="s">
        <v>4764</v>
      </c>
      <c r="C1064" s="4" t="s">
        <v>1465</v>
      </c>
      <c r="D1064" s="4" t="s">
        <v>4765</v>
      </c>
      <c r="E1064" s="9">
        <v>3855</v>
      </c>
      <c r="F1064" s="4" t="s">
        <v>4762</v>
      </c>
      <c r="G1064" s="4" t="s">
        <v>1642</v>
      </c>
      <c r="H1064" s="4" t="s">
        <v>4766</v>
      </c>
    </row>
  </sheetData>
  <mergeCells count="2">
    <mergeCell ref="A1:H1"/>
    <mergeCell ref="A2:H2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요약</vt:lpstr>
      <vt:lpstr>범주 대응</vt:lpstr>
      <vt:lpstr>새 한국 속성</vt:lpstr>
      <vt:lpstr>KGSS 블록 구성</vt:lpstr>
      <vt:lpstr>KGSS 연도 처리 근거</vt:lpstr>
      <vt:lpstr>항목 점검</vt:lpstr>
      <vt:lpstr>배경 변수 대응</vt:lpstr>
      <vt:lpstr>태도 블록 후보</vt:lpstr>
      <vt:lpstr>KGSS 대응(속성별)</vt:lpstr>
      <vt:lpstr>KGSS 대응(전체 후보)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김용기</cp:lastModifiedBy>
  <dcterms:modified xsi:type="dcterms:W3CDTF">2026-10-30T07:09:07Z</dcterms:modified>
</cp:coreProperties>
</file>